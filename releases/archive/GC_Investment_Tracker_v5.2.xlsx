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Investments" sheetId="2" state="visible" r:id="rId4"/>
    <sheet name="CashFlows" sheetId="3" state="visible" r:id="rId5"/>
    <sheet name="Pivot_Summary" sheetId="4" state="visible" r:id="rId6"/>
    <sheet name="Dashboard" sheetId="5" state="visible" r:id="rId7"/>
    <sheet name="Lists" sheetId="6" state="hidden" r:id="rId8"/>
    <sheet name="GC_Framework" sheetId="7" state="visible" r:id="rId9"/>
    <sheet name="CashFlow_Char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<sst xmlns="http://schemas.openxmlformats.org/spreadsheetml/2006/main" count="1006" uniqueCount="384">
  <si>
    <t xml:space="preserve">GC Investment Tracker — Read This First</t>
  </si>
  <si>
    <t xml:space="preserve">Welcome</t>
  </si>
  <si>
    <t xml:space="preserve">This tracker is the source of truth for the GC Private Markets Dashboard. Enter your deals here, save the file, and drag it onto the dashboard. Three tabs do the work — Investments, GC_Framework, and CashFlows. The other tabs (Pivot_Summary, Dashboard, Lists, CashFlow_Chart) are auto-calculated; you don't need to touch them.</t>
  </si>
  <si>
    <t xml:space="preserve">How the cell colors work</t>
  </si>
  <si>
    <t xml:space="preserve">Yellow cells: enter your data here.</t>
  </si>
  <si>
    <t xml:space="preserve">Grey cells: formulas that auto-calculate. Don't edit them — they're locked to prevent accidental changes.</t>
  </si>
  <si>
    <t xml:space="preserve">Green cells: optional fields like Notes and Contact info. Helpful for your own records but not required.</t>
  </si>
  <si>
    <t xml:space="preserve">Quick start — adding your first deal (8 minutes)</t>
  </si>
  <si>
    <t xml:space="preserve">1. Decide if you want to keep the example data. If not, select rows 7–18 on the Investments sheet, right-click, choose Clear Contents (NOT Delete Row — that would shift formulas around). Do the same on the GC_Framework sheet for rows 5–16.</t>
  </si>
  <si>
    <t xml:space="preserve">2. On the Investments sheet, go to row 7 (or the first empty row after your existing data). Fill in the yellow cells:</t>
  </si>
  <si>
    <t xml:space="preserve">   • A: Deal ID — your own internal code, e.g. GC-RE-001 or PROP-2024-01. Make it unique and don't change it later (it links to GC_Framework).</t>
  </si>
  <si>
    <t xml:space="preserve">   • B: Deal Name — what the sponsor calls it.</t>
  </si>
  <si>
    <t xml:space="preserve">   • C: Sponsor/Manager — the GP or operator.</t>
  </si>
  <si>
    <t xml:space="preserve">   • D: Asset Class — pick from the dropdown (VC / Private Equity / Real Estate / Private Credit / Other).</t>
  </si>
  <si>
    <t xml:space="preserve">   • F: Portfolio Role — what role this plays in your portfolio (e.g. "Income Anchor", "Growth Compounder", "Optionality").</t>
  </si>
  <si>
    <t xml:space="preserve">   • G: Deal Status — Researching, Committed, Funded, etc. (dropdown)</t>
  </si>
  <si>
    <t xml:space="preserve">   • I: Vehicle Type — Fund, SPV, Syndicate, Direct (dropdown)</t>
  </si>
  <si>
    <t xml:space="preserve">   • J: Account Type — which account holds it (dropdown — Taxable, IRA, SDIRA, etc.)</t>
  </si>
  <si>
    <t xml:space="preserve">   • M, N: Date Committed and Date Funded — calendar dates.</t>
  </si>
  <si>
    <t xml:space="preserve">   • O: Commitment ($) — total amount you committed.</t>
  </si>
  <si>
    <t xml:space="preserve">   • P: Amount Funded ($) — what you've actually wired so far. Q (Unfunded) auto-calculates.</t>
  </si>
  <si>
    <t xml:space="preserve">   • U: Current Value ($) — current NAV or your best estimate.</t>
  </si>
  <si>
    <t xml:space="preserve">   • V: Distributions ($) — total cash returned to you so far.</t>
  </si>
  <si>
    <t xml:space="preserve">   • Z: Expected ARR — your expected annualized return as a decimal (0.16 = 16%).</t>
  </si>
  <si>
    <t xml:space="preserve">   • AA: Expected MOIC — multiple on invested capital you target (e.g. 1.8 for 1.8x).</t>
  </si>
  <si>
    <t xml:space="preserve">3. Switch to the GC_Framework sheet. Go to row 5 (or the first empty row). The Deal ID in column A must exactly match what you put on Investments. Fill in:</t>
  </si>
  <si>
    <t xml:space="preserve">   • B: GC Score (0–100) — your overall conviction score.</t>
  </si>
  <si>
    <t xml:space="preserve">   • C: R-Code — your Five-Sleeve Architecture role (R0–R9, dropdown).</t>
  </si>
  <si>
    <t xml:space="preserve">   • D: R-Code Label — human-readable description.</t>
  </si>
  <si>
    <t xml:space="preserve">   • E: Conviction Tier — Core / Strategic / Tactical / Opportunistic / Speculative (dropdown).</t>
  </si>
  <si>
    <t xml:space="preserve">   • F: Confidence — High / Medium / Low (dropdown).</t>
  </si>
  <si>
    <t xml:space="preserve">   • G: Portfolio Role — narrative description (e.g. "Cash-Flowing PE", "Asymmetric Moonshot").</t>
  </si>
  <si>
    <t xml:space="preserve">   • H: Killer Risk — the single thing that could blow this up.</t>
  </si>
  <si>
    <t xml:space="preserve">   • I: Regret Resistant — would you regret this if it failed? Free text.</t>
  </si>
  <si>
    <t xml:space="preserve">   • J, K: Sizing Low / High ($) — your sizing band for this kind of deal.</t>
  </si>
  <si>
    <t xml:space="preserve">4. Switch to the CashFlows sheet. Each row is one event. Add new rows for your funding events, distributions, capital calls, etc.:</t>
  </si>
  <si>
    <t xml:space="preserve">   • A: Date of the event.</t>
  </si>
  <si>
    <t xml:space="preserve">   • B: Deal Name — pick from the dropdown (it auto-populates from your Investments sheet).</t>
  </si>
  <si>
    <t xml:space="preserve">   • C: Account Type (dropdown).</t>
  </si>
  <si>
    <t xml:space="preserve">   • D: Flow Type (dropdown — Contribution, Distribution, Capital Call, Fee, Return of Capital).</t>
  </si>
  <si>
    <t xml:space="preserve">   • E: Amount ($) — NEGATIVE for outflows (capital calls, fees), POSITIVE for inflows (distributions). The dashboard relies on this sign convention.</t>
  </si>
  <si>
    <t xml:space="preserve">   • F: Notes — optional free text.</t>
  </si>
  <si>
    <t xml:space="preserve">   • G: Call Type — auto-calculated. Don't edit.</t>
  </si>
  <si>
    <t xml:space="preserve">5. Save the file. Open the GC Private Markets Dashboard. Drag your tracker onto the drop zone. Done.</t>
  </si>
  <si>
    <t xml:space="preserve">Common pitfalls</t>
  </si>
  <si>
    <t xml:space="preserve">• "I deleted a row and now I see #REF! errors." You probably deleted a row that a formula depended on. Press Ctrl+Z to undo. Going forward, use Clear Contents (right-click menu) instead of Delete Row.</t>
  </si>
  <si>
    <t xml:space="preserve">• "I changed a Deal ID and the dashboard isn't showing my qualitative data anymore." The dashboard links Investments to GC_Framework via Deal ID. If you change one, change both — and don't forget any cashflow rows that reference the old name.</t>
  </si>
  <si>
    <t xml:space="preserve">• "I tried to type in a grey cell and Excel won't let me." That's the protection working as designed. The grey cells contain formulas. If you really need to edit one, go to the Review menu → Unprotect Sheet (no password needed).</t>
  </si>
  <si>
    <t xml:space="preserve">• "I see weird negative numbers in distributions on the dashboard." Check your CashFlows column E sign convention: capital calls and fees should be NEGATIVE, distributions should be POSITIVE.</t>
  </si>
  <si>
    <t xml:space="preserve">Need help?</t>
  </si>
  <si>
    <t xml:space="preserve">Post in the Growth Circle forum thread or DM the maintainer. Bring a screenshot of the issue.</t>
  </si>
  <si>
    <t xml:space="preserve">Investments</t>
  </si>
  <si>
    <t xml:space="preserve">COLOR LEGEND:</t>
  </si>
  <si>
    <t xml:space="preserve">  Yellow = enter your data here  </t>
  </si>
  <si>
    <t xml:space="preserve">  Grey = auto-calculated, do not edit  </t>
  </si>
  <si>
    <t xml:space="preserve">  Green = optional but recommended  </t>
  </si>
  <si>
    <t xml:space="preserve">How to use: enter your deals starting at row 7. The yellow cells are the ones you fill in. Grey cells auto-fill from your inputs — leave them alone. Don't change Deal IDs after creating them; they link to the GC_Framework sheet. To delete the example deals, select rows 7-18, right-click, "Clear Contents".</t>
  </si>
  <si>
    <t xml:space="preserve">Deal ID</t>
  </si>
  <si>
    <t xml:space="preserve">Deal Name</t>
  </si>
  <si>
    <t xml:space="preserve">Sponsor/Manager</t>
  </si>
  <si>
    <t xml:space="preserve">Asset Class</t>
  </si>
  <si>
    <t xml:space="preserve">VS Stage</t>
  </si>
  <si>
    <t xml:space="preserve">Portfolio Role</t>
  </si>
  <si>
    <t xml:space="preserve">Deal Status</t>
  </si>
  <si>
    <t xml:space="preserve">Sub-Strategy</t>
  </si>
  <si>
    <t xml:space="preserve">Vehicle Type</t>
  </si>
  <si>
    <t xml:space="preserve">Account Type</t>
  </si>
  <si>
    <t xml:space="preserve">Entity/Title</t>
  </si>
  <si>
    <t xml:space="preserve">Tax Bucket (est.)</t>
  </si>
  <si>
    <t xml:space="preserve">Date Committed</t>
  </si>
  <si>
    <t xml:space="preserve">Date Funded</t>
  </si>
  <si>
    <t xml:space="preserve">Commitment ($)</t>
  </si>
  <si>
    <t xml:space="preserve">Amount Funded ($)</t>
  </si>
  <si>
    <t xml:space="preserve">Unfunded ($)</t>
  </si>
  <si>
    <t xml:space="preserve">Capital Call Schedule</t>
  </si>
  <si>
    <t xml:space="preserve">Lockup (yrs)</t>
  </si>
  <si>
    <t xml:space="preserve">Target Horizon (yrs)</t>
  </si>
  <si>
    <t xml:space="preserve">Current Value ($)</t>
  </si>
  <si>
    <t xml:space="preserve">Distributions ($)</t>
  </si>
  <si>
    <t xml:space="preserve">Distribution Schedule/Notes</t>
  </si>
  <si>
    <t xml:space="preserve">Total Value ($)</t>
  </si>
  <si>
    <t xml:space="preserve">Anticipated Value ($)</t>
  </si>
  <si>
    <t xml:space="preserve">Expected ARR</t>
  </si>
  <si>
    <t xml:space="preserve">Expected MOIC</t>
  </si>
  <si>
    <t xml:space="preserve">Actual MOIC</t>
  </si>
  <si>
    <t xml:space="preserve">Notes</t>
  </si>
  <si>
    <t xml:space="preserve">Contact</t>
  </si>
  <si>
    <t xml:space="preserve">Contact Info</t>
  </si>
  <si>
    <t xml:space="preserve">GC-RE-001</t>
  </si>
  <si>
    <t xml:space="preserve">Eephus Growth Fund I</t>
  </si>
  <si>
    <t xml:space="preserve">EEPHUS GROWTH FUND, LLC</t>
  </si>
  <si>
    <t xml:space="preserve">Real Estate</t>
  </si>
  <si>
    <t xml:space="preserve">NA</t>
  </si>
  <si>
    <t xml:space="preserve">R2-Anchor Income + Tax Shield</t>
  </si>
  <si>
    <t xml:space="preserve">Closed</t>
  </si>
  <si>
    <t xml:space="preserve">Real Estate / Syndicated</t>
  </si>
  <si>
    <t xml:space="preserve">Fund</t>
  </si>
  <si>
    <t xml:space="preserve">SD-IRA</t>
  </si>
  <si>
    <t xml:space="preserve">Individual</t>
  </si>
  <si>
    <t xml:space="preserve">Passive</t>
  </si>
  <si>
    <t xml:space="preserve">Quarterly - 6% starting 6/1/2026. $750 per quarter expected starting on 6/1/2026.</t>
  </si>
  <si>
    <t xml:space="preserve">Bo Burrup</t>
  </si>
  <si>
    <t xml:space="preserve">208-417-9297</t>
  </si>
  <si>
    <t xml:space="preserve">GC-PE-001</t>
  </si>
  <si>
    <t xml:space="preserve">BlueBird Capital (Tranche 1)</t>
  </si>
  <si>
    <t xml:space="preserve">BLUEBIRD CAPITAL GROUP, LP</t>
  </si>
  <si>
    <t xml:space="preserve">Private Equity</t>
  </si>
  <si>
    <t xml:space="preserve">R4-Operational Value-Add / Cash-Flowing PE</t>
  </si>
  <si>
    <t xml:space="preserve">Private Equity / Special Situations</t>
  </si>
  <si>
    <t xml:space="preserve">Annual - 15% at funding anniversary date. $7500 on September 3rd starting                    in 2026</t>
  </si>
  <si>
    <t xml:space="preserve">Braydon Lee</t>
  </si>
  <si>
    <t xml:space="preserve">208-573-1202</t>
  </si>
  <si>
    <t xml:space="preserve">GC-VC-001</t>
  </si>
  <si>
    <t xml:space="preserve">Next Life Sciences - Plan A</t>
  </si>
  <si>
    <t xml:space="preserve">Spacestation 87, a series of Spacestation 
Investments 1, LLC </t>
  </si>
  <si>
    <t xml:space="preserve">VC</t>
  </si>
  <si>
    <t xml:space="preserve">Seed</t>
  </si>
  <si>
    <t xml:space="preserve">R8-Asymetric Moonshot/Binary Catalyst</t>
  </si>
  <si>
    <t xml:space="preserve">Healthcare / MedTech</t>
  </si>
  <si>
    <t xml:space="preserve">SPV</t>
  </si>
  <si>
    <t xml:space="preserve">Portfolio</t>
  </si>
  <si>
    <t xml:space="preserve">Timothy Holladay</t>
  </si>
  <si>
    <t xml:space="preserve">480-734-8232</t>
  </si>
  <si>
    <t xml:space="preserve">GC-VC-002</t>
  </si>
  <si>
    <t xml:space="preserve">Telly TV</t>
  </si>
  <si>
    <t xml:space="preserve">Spacestation 88, a series of Spacestation 
Investments 1, LLC</t>
  </si>
  <si>
    <t xml:space="preserve">Series A</t>
  </si>
  <si>
    <t xml:space="preserve">R7-Platform-Scale VC (High Beta)</t>
  </si>
  <si>
    <t xml:space="preserve">Consumer / Ad-Supported Hardware</t>
  </si>
  <si>
    <t xml:space="preserve">GC-VC-003</t>
  </si>
  <si>
    <t xml:space="preserve">ÆRTHLINGS</t>
  </si>
  <si>
    <t xml:space="preserve">Spacestation 89, a series of Spacestation 
Investments 1, LLC </t>
  </si>
  <si>
    <t xml:space="preserve">R6-Franchise/Category IP Upside</t>
  </si>
  <si>
    <t xml:space="preserve">Consumer / Brand</t>
  </si>
  <si>
    <t xml:space="preserve">GC-VC-004</t>
  </si>
  <si>
    <t xml:space="preserve">SpaceStation Fund</t>
  </si>
  <si>
    <t xml:space="preserve">SPVC VENTURES FUND I, L.P. AND SPVC VENTURES FUND I Q, L.P. </t>
  </si>
  <si>
    <t xml:space="preserve">Opened</t>
  </si>
  <si>
    <t xml:space="preserve">Consumer / Tech-Enabled</t>
  </si>
  <si>
    <t xml:space="preserve">Quarterly - $12,500 continuing on 5/22/2026</t>
  </si>
  <si>
    <t xml:space="preserve">GC-VC-005</t>
  </si>
  <si>
    <t xml:space="preserve">Turbo Insurance</t>
  </si>
  <si>
    <t xml:space="preserve">Amplifi Turbo LLC</t>
  </si>
  <si>
    <t xml:space="preserve">Private Equity (AI x Insurtech Growth Capital Raise)</t>
  </si>
  <si>
    <t xml:space="preserve">Myles Johnson</t>
  </si>
  <si>
    <t xml:space="preserve">602-807-1915</t>
  </si>
  <si>
    <t xml:space="preserve">GC-RE-002</t>
  </si>
  <si>
    <t xml:space="preserve">Eephus Growth Fund II</t>
  </si>
  <si>
    <t xml:space="preserve">Quarterly - 6% annual starting 2/1/2027. $750 per quarter expected starting on 2/1/2027</t>
  </si>
  <si>
    <t xml:space="preserve">GC-PE-002</t>
  </si>
  <si>
    <t xml:space="preserve">BlueBird Capital (Tranche 2)</t>
  </si>
  <si>
    <t xml:space="preserve">Annual - 15% at funding anniversary date. $7500 on February 18th starting                    in 2027</t>
  </si>
  <si>
    <t xml:space="preserve">GC-VC-006</t>
  </si>
  <si>
    <t xml:space="preserve">Aerolane</t>
  </si>
  <si>
    <t xml:space="preserve">Spacestation</t>
  </si>
  <si>
    <t xml:space="preserve">Aerospace / Logistics Infrastructure</t>
  </si>
  <si>
    <t xml:space="preserve">Belltower Fund Group, Ltd.</t>
  </si>
  <si>
    <t xml:space="preserve">425-310-2445</t>
  </si>
  <si>
    <t xml:space="preserve">GC-VC-007</t>
  </si>
  <si>
    <t xml:space="preserve">Rorra</t>
  </si>
  <si>
    <t xml:space="preserve">Pre-Seed</t>
  </si>
  <si>
    <t xml:space="preserve">R6 — Franchise / Category IP</t>
  </si>
  <si>
    <t xml:space="preserve">Consumer</t>
  </si>
  <si>
    <t xml:space="preserve">GC-PE-003</t>
  </si>
  <si>
    <t xml:space="preserve">Asilia GC Fund</t>
  </si>
  <si>
    <t xml:space="preserve">Asilia</t>
  </si>
  <si>
    <t xml:space="preserve">Private Credit</t>
  </si>
  <si>
    <t xml:space="preserve">R3 — High-Yield
Private</t>
  </si>
  <si>
    <t xml:space="preserve">Quarterly - $10,000. Initial $10,000 on funding date (6/1/2026). $10,000 per quarter starting on 9/1/2026</t>
  </si>
  <si>
    <t xml:space="preserve">Quarterly - 12% annual starting on 6/1/2027 (approx.). $3000 per quarter starting on 6/1/2027. </t>
  </si>
  <si>
    <t xml:space="preserve">CashFlows — Event Log</t>
  </si>
  <si>
    <t xml:space="preserve">  Yellow = enter your data  </t>
  </si>
  <si>
    <t xml:space="preserve">  Grey = auto-calculated  </t>
  </si>
  <si>
    <t xml:space="preserve">How to use: each row is one cashflow event (a capital call, distribution, fee, etc.). Enter Date, Deal Name, Account Type, Flow Type, and Amount. The Call Type column auto-classifies. Use negative amounts for outflows (capital calls, fees) and positive for inflows (distributions). Add new rows below the existing ones — there's capacity for 300+ events.</t>
  </si>
  <si>
    <t xml:space="preserve">Date</t>
  </si>
  <si>
    <t xml:space="preserve">Flow Type</t>
  </si>
  <si>
    <t xml:space="preserve">Amount ($)</t>
  </si>
  <si>
    <t xml:space="preserve">Call Type</t>
  </si>
  <si>
    <t xml:space="preserve">Column2</t>
  </si>
  <si>
    <t xml:space="preserve">Capital Call</t>
  </si>
  <si>
    <t xml:space="preserve">Distribution</t>
  </si>
  <si>
    <t xml:space="preserve">Equity Created at Exit</t>
  </si>
  <si>
    <t xml:space="preserve">Return of Capital </t>
  </si>
  <si>
    <t xml:space="preserve">Capital at Exit</t>
  </si>
  <si>
    <t xml:space="preserve">Pivot_Summary (formula-based)</t>
  </si>
  <si>
    <t xml:space="preserve">These summaries are powered by SUMIFS (works without Excel PivotTables/macros).</t>
  </si>
  <si>
    <t xml:space="preserve">By Asset Class</t>
  </si>
  <si>
    <t xml:space="preserve">Committed</t>
  </si>
  <si>
    <t xml:space="preserve">Funded</t>
  </si>
  <si>
    <t xml:space="preserve">Current Value</t>
  </si>
  <si>
    <t xml:space="preserve">Distributions</t>
  </si>
  <si>
    <t xml:space="preserve">MOIC (weighted)</t>
  </si>
  <si>
    <t xml:space="preserve">Other</t>
  </si>
  <si>
    <t xml:space="preserve">TOTAL</t>
  </si>
  <si>
    <t xml:space="preserve">By Account Type</t>
  </si>
  <si>
    <t xml:space="preserve">Taxable</t>
  </si>
  <si>
    <t xml:space="preserve">Traditional IRA</t>
  </si>
  <si>
    <t xml:space="preserve">Roth IRA</t>
  </si>
  <si>
    <t xml:space="preserve">SDIRA</t>
  </si>
  <si>
    <t xml:space="preserve">Trust</t>
  </si>
  <si>
    <t xml:space="preserve">By Tax Bucket (est.)</t>
  </si>
  <si>
    <t xml:space="preserve">Tax Bucket</t>
  </si>
  <si>
    <t xml:space="preserve">Active</t>
  </si>
  <si>
    <t xml:space="preserve">UBTI</t>
  </si>
  <si>
    <t xml:space="preserve">Unknown</t>
  </si>
  <si>
    <t xml:space="preserve">PRIVATE MARKETS</t>
  </si>
  <si>
    <t xml:space="preserve">Growth Circle · Portfolio Summary</t>
  </si>
  <si>
    <t xml:space="preserve">ACCOUNT FILTER</t>
  </si>
  <si>
    <t xml:space="preserve">ASSET CLASS FILTER</t>
  </si>
  <si>
    <t xml:space="preserve">All</t>
  </si>
  <si>
    <t xml:space="preserve">TOTAL COMMITTED</t>
  </si>
  <si>
    <t xml:space="preserve">FUNDED</t>
  </si>
  <si>
    <t xml:space="preserve">UNFUNDED</t>
  </si>
  <si>
    <t xml:space="preserve">CURRENT VALUE</t>
  </si>
  <si>
    <t xml:space="preserve">DISTRIBUTIONS</t>
  </si>
  <si>
    <t xml:space="preserve">MOIC (WEIGHTED)</t>
  </si>
  <si>
    <t xml:space="preserve">ALLOCATION BY ASSET CLASS</t>
  </si>
  <si>
    <t xml:space="preserve">R-CODE COVERAGE</t>
  </si>
  <si>
    <t xml:space="preserve">ASSET CLASS</t>
  </si>
  <si>
    <t xml:space="preserve">COMMITTED</t>
  </si>
  <si>
    <t xml:space="preserve">% OF FUNDED</t>
  </si>
  <si>
    <t xml:space="preserve">MOIC</t>
  </si>
  <si>
    <t xml:space="preserve">R0</t>
  </si>
  <si>
    <t xml:space="preserve">R1</t>
  </si>
  <si>
    <t xml:space="preserve">R2</t>
  </si>
  <si>
    <t xml:space="preserve">R3</t>
  </si>
  <si>
    <t xml:space="preserve">R4</t>
  </si>
  <si>
    <t xml:space="preserve">Cash / Optionality</t>
  </si>
  <si>
    <t xml:space="preserve">Public Beta</t>
  </si>
  <si>
    <t xml:space="preserve">Anchor Income</t>
  </si>
  <si>
    <t xml:space="preserve">High-Yield Private</t>
  </si>
  <si>
    <t xml:space="preserve">Value-Add PE</t>
  </si>
  <si>
    <t xml:space="preserve">R5</t>
  </si>
  <si>
    <t xml:space="preserve">R6</t>
  </si>
  <si>
    <t xml:space="preserve">R7</t>
  </si>
  <si>
    <t xml:space="preserve">R8</t>
  </si>
  <si>
    <t xml:space="preserve">R9</t>
  </si>
  <si>
    <t xml:space="preserve">Special Situations</t>
  </si>
  <si>
    <t xml:space="preserve">Franchise / Brand IP</t>
  </si>
  <si>
    <t xml:space="preserve">Platform VC</t>
  </si>
  <si>
    <t xml:space="preserve">Moonshot / Binary</t>
  </si>
  <si>
    <t xml:space="preserve">Diversifier</t>
  </si>
  <si>
    <t xml:space="preserve">DEAL DETAIL — INVESTMENTS × GC FRAMEWORK</t>
  </si>
  <si>
    <t xml:space="preserve">DEAL ID</t>
  </si>
  <si>
    <t xml:space="preserve">DEAL NAME</t>
  </si>
  <si>
    <t xml:space="preserve">ACCOUNT</t>
  </si>
  <si>
    <t xml:space="preserve">STATUS</t>
  </si>
  <si>
    <t xml:space="preserve">COMMIT</t>
  </si>
  <si>
    <t xml:space="preserve">UNFUND</t>
  </si>
  <si>
    <t xml:space="preserve">CURRENT</t>
  </si>
  <si>
    <t xml:space="preserve">DIST</t>
  </si>
  <si>
    <t xml:space="preserve">GC SCORE</t>
  </si>
  <si>
    <t xml:space="preserve">R-CODE</t>
  </si>
  <si>
    <t xml:space="preserve">TIER</t>
  </si>
  <si>
    <t xml:space="preserve">VERDICT</t>
  </si>
  <si>
    <t xml:space="preserve">APEX · Private Markets Dashboard — reads Investments + GC_Framework · Filters above drive all KPIs and tables</t>
  </si>
  <si>
    <t xml:space="preserve">ListName</t>
  </si>
  <si>
    <t xml:space="preserve">Value</t>
  </si>
  <si>
    <t xml:space="preserve">AssetClass</t>
  </si>
  <si>
    <t xml:space="preserve">VehicleType</t>
  </si>
  <si>
    <t xml:space="preserve">Syndicate</t>
  </si>
  <si>
    <t xml:space="preserve">Direct</t>
  </si>
  <si>
    <t xml:space="preserve">AccountType</t>
  </si>
  <si>
    <t xml:space="preserve">TaxBucket</t>
  </si>
  <si>
    <t xml:space="preserve">Status</t>
  </si>
  <si>
    <t xml:space="preserve">Researching</t>
  </si>
  <si>
    <t xml:space="preserve">Partially Funded</t>
  </si>
  <si>
    <t xml:space="preserve">Active/Monitoring</t>
  </si>
  <si>
    <t xml:space="preserve">Exited</t>
  </si>
  <si>
    <t xml:space="preserve">Written Off</t>
  </si>
  <si>
    <t xml:space="preserve">FlowType</t>
  </si>
  <si>
    <t xml:space="preserve">Contribution</t>
  </si>
  <si>
    <t xml:space="preserve">Fee</t>
  </si>
  <si>
    <t xml:space="preserve">Return of Capital</t>
  </si>
  <si>
    <t xml:space="preserve">YesNo</t>
  </si>
  <si>
    <t xml:space="preserve">Yes</t>
  </si>
  <si>
    <t xml:space="preserve">No</t>
  </si>
  <si>
    <t xml:space="preserve">RCode</t>
  </si>
  <si>
    <t xml:space="preserve">Reserve / Optionality</t>
  </si>
  <si>
    <t xml:space="preserve">Public Liquid Engine</t>
  </si>
  <si>
    <t xml:space="preserve">Anchor Income + Tax Shield</t>
  </si>
  <si>
    <t xml:space="preserve">Stabilized Real Estate</t>
  </si>
  <si>
    <t xml:space="preserve">Operational Value-Add PE</t>
  </si>
  <si>
    <t xml:space="preserve">Distressed / Special Situations</t>
  </si>
  <si>
    <t xml:space="preserve">Growth Equity</t>
  </si>
  <si>
    <t xml:space="preserve">Early-Stage VC</t>
  </si>
  <si>
    <t xml:space="preserve">Asymmetric Moonshot</t>
  </si>
  <si>
    <t xml:space="preserve">Other / Uncategorized</t>
  </si>
  <si>
    <t xml:space="preserve">Conviction</t>
  </si>
  <si>
    <t xml:space="preserve">Core</t>
  </si>
  <si>
    <t xml:space="preserve">Strategic</t>
  </si>
  <si>
    <t xml:space="preserve">Tactical</t>
  </si>
  <si>
    <t xml:space="preserve">Opportunistic</t>
  </si>
  <si>
    <t xml:space="preserve">Speculative</t>
  </si>
  <si>
    <t xml:space="preserve">Confidence</t>
  </si>
  <si>
    <t xml:space="preserve">High</t>
  </si>
  <si>
    <t xml:space="preserve">Medium</t>
  </si>
  <si>
    <t xml:space="preserve">Low</t>
  </si>
  <si>
    <t xml:space="preserve">GC Framework — Qualitative Fields</t>
  </si>
  <si>
    <t xml:space="preserve">Qualitative fields from the GC Deal Comparison &amp; Asset Allocation Framework. Keyed by Deal ID. Dashboard reads via VLOOKUP.</t>
  </si>
  <si>
    <t xml:space="preserve">Each row is one deal's qualitative scoring. The Deal ID in column A must EXACTLY match the Deal ID on the Investments sheet — that's how the dashboard links them. All cells here are yellow (user input).</t>
  </si>
  <si>
    <t xml:space="preserve">GC Score (0-100)</t>
  </si>
  <si>
    <t xml:space="preserve">R-Code</t>
  </si>
  <si>
    <t xml:space="preserve">R-Code Label</t>
  </si>
  <si>
    <t xml:space="preserve">Conviction Tier</t>
  </si>
  <si>
    <t xml:space="preserve">Killer Risk</t>
  </si>
  <si>
    <t xml:space="preserve">Regret Resistant</t>
  </si>
  <si>
    <t xml:space="preserve">Sizing Low ($)</t>
  </si>
  <si>
    <t xml:space="preserve">Sizing High ($)</t>
  </si>
  <si>
    <t xml:space="preserve">Sizing Recommended ($)</t>
  </si>
  <si>
    <t xml:space="preserve">Next Call Date</t>
  </si>
  <si>
    <t xml:space="preserve">Next Call Amount ($)</t>
  </si>
  <si>
    <t xml:space="preserve">Memo Iteration</t>
  </si>
  <si>
    <t xml:space="preserve">Memo Date</t>
  </si>
  <si>
    <t xml:space="preserve">Income / Tax Shield</t>
  </si>
  <si>
    <t xml:space="preserve">Illiquidity / RE cycle risk</t>
  </si>
  <si>
    <t xml:space="preserve">Yes — strong cash flow + tax</t>
  </si>
  <si>
    <t xml:space="preserve">Cash-Flowing PE</t>
  </si>
  <si>
    <t xml:space="preserve">Manager execution / deal quality</t>
  </si>
  <si>
    <t xml:space="preserve">Yes — strong distribution yield</t>
  </si>
  <si>
    <t xml:space="preserve">Binary Catalyst</t>
  </si>
  <si>
    <t xml:space="preserve">Clinical/regulatory failure</t>
  </si>
  <si>
    <t xml:space="preserve">Yes — asymmetric upside</t>
  </si>
  <si>
    <t xml:space="preserve">Platform-Scale VC</t>
  </si>
  <si>
    <t xml:space="preserve">High Beta VC</t>
  </si>
  <si>
    <t xml:space="preserve">Consumer hardware adoption risk</t>
  </si>
  <si>
    <t xml:space="preserve">Borderline — small position</t>
  </si>
  <si>
    <t xml:space="preserve">Franchise / Category IP</t>
  </si>
  <si>
    <t xml:space="preserve">Brand / IP Upside</t>
  </si>
  <si>
    <t xml:space="preserve">Brand adoption / execution</t>
  </si>
  <si>
    <t xml:space="preserve">Yes — category IP optionality</t>
  </si>
  <si>
    <t xml:space="preserve">High Beta Fund VC</t>
  </si>
  <si>
    <t xml:space="preserve">Capital call velocity / illiquidity</t>
  </si>
  <si>
    <t xml:space="preserve">Yes — diversified fund exposure</t>
  </si>
  <si>
    <t xml:space="preserve">AI x Insurtech</t>
  </si>
  <si>
    <t xml:space="preserve">Early-stage execution / AI hype</t>
  </si>
  <si>
    <t xml:space="preserve">Yes — AI x insurance thesis</t>
  </si>
  <si>
    <t xml:space="preserve">RE cycle / rate risk</t>
  </si>
  <si>
    <t xml:space="preserve">Yes — recurring preferred income</t>
  </si>
  <si>
    <t xml:space="preserve">Aerospace / Logistics</t>
  </si>
  <si>
    <t xml:space="preserve">Regulatory / capital intensity</t>
  </si>
  <si>
    <t xml:space="preserve">Yes — infrastructure optionality</t>
  </si>
  <si>
    <t xml:space="preserve">Consumer Brand</t>
  </si>
  <si>
    <t xml:space="preserve">Early-stage brand execution</t>
  </si>
  <si>
    <t xml:space="preserve">Yes — strong subscription model</t>
  </si>
  <si>
    <t xml:space="preserve">High-Yield Private Credit</t>
  </si>
  <si>
    <t xml:space="preserve">Credit default / fund liquidity</t>
  </si>
  <si>
    <t xml:space="preserve">Yes — strong yield + diversification</t>
  </si>
  <si>
    <t xml:space="preserve">SD-IRA PRIVATE MARKETS — CASH FLOW ANALYSIS</t>
  </si>
  <si>
    <t xml:space="preserve">Capital Calls &amp; Contributions (outflows) vs. Preferred Distributions (inflows) · Growth Circle Portfolio</t>
  </si>
  <si>
    <t xml:space="preserve">Quarter</t>
  </si>
  <si>
    <t xml:space="preserve">Contributions ($)</t>
  </si>
  <si>
    <t xml:space="preserve">Capital Calls ($)</t>
  </si>
  <si>
    <t xml:space="preserve">Net Cash Flow ($)</t>
  </si>
  <si>
    <t xml:space="preserve">Cumulative Net ($)</t>
  </si>
  <si>
    <t xml:space="preserve">Q3 2025</t>
  </si>
  <si>
    <t xml:space="preserve">Q4 2025</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</si>
  <si>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</si>
  <si>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</si>
  <si>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</si>
  <si>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</si>
  <si>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</si>
  <si>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</si>
  <si>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</si>
  <si>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</si>
  <si>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</si>
  <si>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</si>
  <si>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</si>
  <si>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</si>
  <si>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</si>
  <si>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</si>
  <si>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</si>
  <si>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</si>
  <si>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</si>
  <si>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</si>
  <si>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</si>
  <si>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</si>
  <si>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</si>
  <si>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</si>
  <si>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</si>
  <si>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</si>
  <si>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</si>
  <si>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Q3 2032</t>
  </si>
  <si>
    <t xml:space="preserve">Q1 2033</t>
  </si>
</sst>
</file>

<file path=xl/styles.xml><?xml version="1.0" encoding="utf-8"?>
<styleSheet xmlns="http://schemas.openxmlformats.org/spreadsheetml/2006/main">
  <numFmts count="12">
    <numFmt numFmtId="164" formatCode="General"/>
    <numFmt numFmtId="165" formatCode="yyyy\-mm\-dd"/>
    <numFmt numFmtId="166" formatCode="\$#,##0"/>
    <numFmt numFmtId="167" formatCode="0"/>
    <numFmt numFmtId="168" formatCode="0%"/>
    <numFmt numFmtId="169" formatCode="0.00\x"/>
    <numFmt numFmtId="170" formatCode="\$#,##0;&quot;($&quot;#,##0\);\—"/>
    <numFmt numFmtId="171" formatCode="0.0%"/>
    <numFmt numFmtId="172" formatCode="0;\—;\—"/>
    <numFmt numFmtId="173" formatCode="#,##0;\(#,##0\);\—"/>
    <numFmt numFmtId="174" formatCode="mmm\ d&quot;, &quot;yyyy"/>
    <numFmt numFmtId="175" formatCode="\$#,##0;&quot;($&quot;#,##0\);\-"/>
  </numFmts>
  <fonts count="46">
    <font>
      <sz val="11"/>
      <color theme="1"/>
      <name val="Calibri"/>
      <family val="2"/>
      <charset val="1"/>
    </font>
    <font>
      <sz val="10"/>
      <name val="Arial"/>
      <family val="0"/>
    </font>
    <font>
      <sz val="10"/>
      <name val="Arial"/>
      <family val="0"/>
    </font>
    <font>
      <sz val="10"/>
      <name val="Arial"/>
      <family val="0"/>
    </font>
    <font>
      <b val="true"/>
      <sz val="18"/>
      <color rgb="FF1A1A1A"/>
      <name val="Cambria"/>
      <family val="0"/>
      <charset val="1"/>
    </font>
    <font>
      <sz val="11"/>
      <name val="Cambria"/>
      <family val="0"/>
      <charset val="1"/>
    </font>
    <font>
      <b val="true"/>
      <sz val="13"/>
      <color rgb="FF1A1A1A"/>
      <name val="Cambria"/>
      <family val="0"/>
      <charset val="1"/>
    </font>
    <font>
      <b val="true"/>
      <sz val="11"/>
      <color rgb="FF2A4A6A"/>
      <name val="Cambria"/>
      <family val="0"/>
      <charset val="1"/>
    </font>
    <font>
      <b val="true"/>
      <sz val="16"/>
      <color rgb="FF1F4E79"/>
      <name val="Calibri"/>
      <family val="2"/>
      <charset val="1"/>
    </font>
    <font>
      <b val="true"/>
      <sz val="10"/>
      <color rgb="FF4A4A4A"/>
      <name val="Cambria"/>
      <family val="0"/>
      <charset val="1"/>
    </font>
    <font>
      <sz val="10"/>
      <color rgb="FF4A4A4A"/>
      <name val="Cambria"/>
      <family val="0"/>
      <charset val="1"/>
    </font>
    <font>
      <i val="true"/>
      <sz val="10"/>
      <color rgb="FF666666"/>
      <name val="Cambria"/>
      <family val="0"/>
      <charset val="1"/>
    </font>
    <font>
      <b val="true"/>
      <sz val="11"/>
      <color rgb="FFFFFFFF"/>
      <name val="Calibri"/>
      <family val="2"/>
      <charset val="1"/>
    </font>
    <font>
      <b val="true"/>
      <sz val="14"/>
      <color rgb="FF1A1A1A"/>
      <name val="Cambria"/>
      <family val="0"/>
      <charset val="1"/>
    </font>
    <font>
      <b val="true"/>
      <sz val="11"/>
      <color rgb="FFFFFFFF"/>
      <name val="Cambria"/>
      <family val="0"/>
      <charset val="1"/>
    </font>
    <font>
      <sz val="11"/>
      <color rgb="FF666666"/>
      <name val="Calibri"/>
      <family val="2"/>
      <charset val="1"/>
    </font>
    <font>
      <b val="true"/>
      <sz val="11"/>
      <name val="Calibri"/>
      <family val="2"/>
      <charset val="1"/>
    </font>
    <font>
      <b val="true"/>
      <sz val="16"/>
      <color rgb="FFFCD34D"/>
      <name val="Segoe UI"/>
      <family val="2"/>
      <charset val="1"/>
    </font>
    <font>
      <sz val="9"/>
      <color rgb="FFFFFFFF"/>
      <name val="Consolas"/>
      <family val="3"/>
      <charset val="1"/>
    </font>
    <font>
      <i val="true"/>
      <sz val="10"/>
      <color rgb="FF7A90B0"/>
      <name val="Segoe UI"/>
      <family val="2"/>
      <charset val="1"/>
    </font>
    <font>
      <b val="true"/>
      <sz val="8"/>
      <color rgb="FF7A90B0"/>
      <name val="Consolas"/>
      <family val="3"/>
      <charset val="1"/>
    </font>
    <font>
      <b val="true"/>
      <sz val="11"/>
      <color rgb="FF92400E"/>
      <name val="Segoe UI"/>
      <family val="2"/>
      <charset val="1"/>
    </font>
    <font>
      <b val="true"/>
      <sz val="18"/>
      <color rgb="FFD97706"/>
      <name val="Segoe UI"/>
      <family val="2"/>
      <charset val="1"/>
    </font>
    <font>
      <b val="true"/>
      <sz val="18"/>
      <color rgb="FF0D1420"/>
      <name val="Segoe UI"/>
      <family val="2"/>
      <charset val="1"/>
    </font>
    <font>
      <b val="true"/>
      <sz val="18"/>
      <color rgb="FF059669"/>
      <name val="Segoe UI"/>
      <family val="2"/>
      <charset val="1"/>
    </font>
    <font>
      <sz val="8"/>
      <color rgb="FF7A90B0"/>
      <name val="Consolas"/>
      <family val="3"/>
      <charset val="1"/>
    </font>
    <font>
      <b val="true"/>
      <sz val="10"/>
      <color rgb="FF0D1420"/>
      <name val="Segoe UI"/>
      <family val="2"/>
      <charset val="1"/>
    </font>
    <font>
      <b val="true"/>
      <sz val="8"/>
      <color rgb="FFFFFFFF"/>
      <name val="Consolas"/>
      <family val="3"/>
      <charset val="1"/>
    </font>
    <font>
      <b val="true"/>
      <sz val="13"/>
      <color rgb="FFD97706"/>
      <name val="Consolas"/>
      <family val="3"/>
      <charset val="1"/>
    </font>
    <font>
      <sz val="10"/>
      <color rgb="FF0D1420"/>
      <name val="Consolas"/>
      <family val="3"/>
      <charset val="1"/>
    </font>
    <font>
      <b val="true"/>
      <sz val="10"/>
      <color rgb="FF92400E"/>
      <name val="Consolas"/>
      <family val="3"/>
      <charset val="1"/>
    </font>
    <font>
      <b val="true"/>
      <sz val="11"/>
      <color rgb="FF0D1420"/>
      <name val="Consolas"/>
      <family val="3"/>
      <charset val="1"/>
    </font>
    <font>
      <sz val="8"/>
      <color rgb="FF7A90B0"/>
      <name val="Segoe UI"/>
      <family val="2"/>
      <charset val="1"/>
    </font>
    <font>
      <sz val="10"/>
      <color rgb="FF0D1420"/>
      <name val="Segoe UI"/>
      <family val="2"/>
      <charset val="1"/>
    </font>
    <font>
      <i val="true"/>
      <sz val="8"/>
      <color rgb="FF7A90B0"/>
      <name val="Segoe UI"/>
      <family val="2"/>
      <charset val="1"/>
    </font>
    <font>
      <b val="true"/>
      <sz val="18"/>
      <color rgb="FF000000"/>
      <name val="Calibri"/>
      <family val="2"/>
    </font>
    <font>
      <sz val="10"/>
      <color rgb="FF000000"/>
      <name val="Calibri"/>
      <family val="2"/>
    </font>
    <font>
      <b val="true"/>
      <sz val="14"/>
      <color rgb="FF0D1420"/>
      <name val="Segoe UI"/>
      <family val="2"/>
      <charset val="1"/>
    </font>
    <font>
      <i val="true"/>
      <sz val="9"/>
      <color rgb="FF7A90B0"/>
      <name val="Segoe UI"/>
      <family val="2"/>
      <charset val="1"/>
    </font>
    <font>
      <b val="true"/>
      <sz val="10"/>
      <color rgb="FFFFFFFF"/>
      <name val="Segoe UI"/>
      <family val="2"/>
      <charset val="1"/>
    </font>
    <font>
      <sz val="9"/>
      <color rgb="FF0D1420"/>
      <name val="Segoe UI"/>
      <family val="2"/>
      <charset val="1"/>
    </font>
    <font>
      <b val="true"/>
      <sz val="14"/>
      <color rgb="FFFCD34D"/>
      <name val="Arial"/>
      <family val="2"/>
      <charset val="1"/>
    </font>
    <font>
      <sz val="10"/>
      <color rgb="FF9CA3AF"/>
      <name val="Arial"/>
      <family val="2"/>
      <charset val="1"/>
    </font>
    <font>
      <b val="true"/>
      <sz val="9"/>
      <color rgb="FFFCD34D"/>
      <name val="Arial"/>
      <family val="2"/>
      <charset val="1"/>
    </font>
    <font>
      <sz val="9"/>
      <color rgb="FFFFFFFF"/>
      <name val="Arial"/>
      <family val="2"/>
      <charset val="1"/>
    </font>
    <font>
      <b val="true"/>
      <sz val="10"/>
      <color rgb="FF000000"/>
      <name val="Calibri"/>
      <family val="2"/>
    </font>
  </fonts>
  <fills count="16">
    <fill>
      <patternFill patternType="none"/>
    </fill>
    <fill>
      <patternFill patternType="gray125"/>
    </fill>
    <fill>
      <patternFill patternType="solid">
        <fgColor rgb="FFFFF8DC"/>
        <bgColor rgb="FFF7F4EC"/>
      </patternFill>
    </fill>
    <fill>
      <patternFill patternType="solid">
        <fgColor rgb="FFECECEC"/>
        <bgColor rgb="FFEEEEEE"/>
      </patternFill>
    </fill>
    <fill>
      <patternFill patternType="solid">
        <fgColor rgb="FFE8F4E0"/>
        <bgColor rgb="FFEEEEEE"/>
      </patternFill>
    </fill>
    <fill>
      <patternFill patternType="solid">
        <fgColor rgb="FF1F4E79"/>
        <bgColor rgb="FF2A4A6A"/>
      </patternFill>
    </fill>
    <fill>
      <patternFill patternType="solid">
        <fgColor rgb="FF4A4A4A"/>
        <bgColor rgb="FF5F4A78"/>
      </patternFill>
    </fill>
    <fill>
      <patternFill patternType="solid">
        <fgColor rgb="FFEAF2F8"/>
        <bgColor rgb="FFEEEEEE"/>
      </patternFill>
    </fill>
    <fill>
      <patternFill patternType="solid">
        <fgColor rgb="FFD9E1F2"/>
        <bgColor rgb="FFD9D9D9"/>
      </patternFill>
    </fill>
    <fill>
      <patternFill patternType="solid">
        <fgColor rgb="FF0D1420"/>
        <bgColor rgb="FF1A1A1A"/>
      </patternFill>
    </fill>
    <fill>
      <patternFill patternType="solid">
        <fgColor rgb="FFFEF3C7"/>
        <bgColor rgb="FFFFF8DC"/>
      </patternFill>
    </fill>
    <fill>
      <patternFill patternType="solid">
        <fgColor rgb="FFFAFAF5"/>
        <bgColor rgb="FFF7F4EC"/>
      </patternFill>
    </fill>
    <fill>
      <patternFill patternType="solid">
        <fgColor rgb="FFFFFFFF"/>
        <bgColor rgb="FFFAFAF5"/>
      </patternFill>
    </fill>
    <fill>
      <patternFill patternType="solid">
        <fgColor rgb="FFF7F4EC"/>
        <bgColor rgb="FFFAFAF5"/>
      </patternFill>
    </fill>
    <fill>
      <patternFill patternType="solid">
        <fgColor rgb="FF16213E"/>
        <bgColor rgb="FF1A1A2E"/>
      </patternFill>
    </fill>
    <fill>
      <patternFill patternType="solid">
        <fgColor rgb="FF1A1A2E"/>
        <bgColor rgb="FF1A1A1A"/>
      </patternFill>
    </fill>
  </fills>
  <borders count="19">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A6A6A6"/>
      </left>
      <right style="thin">
        <color rgb="FFA6A6A6"/>
      </right>
      <top style="thin">
        <color rgb="FFA6A6A6"/>
      </top>
      <bottom/>
      <diagonal/>
    </border>
    <border diagonalUp="false" diagonalDown="false">
      <left style="thin"/>
      <right style="thin"/>
      <top style="thin"/>
      <bottom style="thin"/>
      <diagonal/>
    </border>
    <border diagonalUp="false" diagonalDown="false">
      <left style="thin">
        <color rgb="FFA6A6A6"/>
      </left>
      <right style="thin">
        <color rgb="FFA6A6A6"/>
      </right>
      <top/>
      <bottom style="thin">
        <color rgb="FFA6A6A6"/>
      </bottom>
      <diagonal/>
    </border>
    <border diagonalUp="false" diagonalDown="false">
      <left style="thin">
        <color rgb="FFA6A6A6"/>
      </left>
      <right/>
      <top/>
      <bottom style="thin">
        <color rgb="FFA6A6A6"/>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style="thin">
        <color rgb="FFA6A6A6"/>
      </bottom>
      <diagonal/>
    </border>
    <border diagonalUp="false" diagonalDown="false">
      <left style="thin">
        <color rgb="FFD97706"/>
      </left>
      <right style="thin">
        <color rgb="FFD97706"/>
      </right>
      <top style="thin">
        <color rgb="FFD97706"/>
      </top>
      <bottom style="thin">
        <color rgb="FFD97706"/>
      </bottom>
      <diagonal/>
    </border>
    <border diagonalUp="false" diagonalDown="false">
      <left/>
      <right/>
      <top/>
      <bottom style="medium">
        <color rgb="FFD97706"/>
      </bottom>
      <diagonal/>
    </border>
    <border diagonalUp="false" diagonalDown="false">
      <left/>
      <right/>
      <top/>
      <bottom style="medium">
        <color rgb="FF0D1420"/>
      </bottom>
      <diagonal/>
    </border>
    <border diagonalUp="false" diagonalDown="false">
      <left/>
      <right/>
      <top/>
      <bottom style="medium">
        <color rgb="FF059669"/>
      </bottom>
      <diagonal/>
    </border>
    <border diagonalUp="false" diagonalDown="false">
      <left style="thin">
        <color rgb="FF0D1420"/>
      </left>
      <right style="thin">
        <color rgb="FF0D1420"/>
      </right>
      <top style="thin">
        <color rgb="FF0D1420"/>
      </top>
      <bottom style="thin">
        <color rgb="FF0D1420"/>
      </bottom>
      <diagonal/>
    </border>
    <border diagonalUp="false" diagonalDown="false">
      <left style="thin">
        <color rgb="FFE5E0D0"/>
      </left>
      <right style="thin">
        <color rgb="FFE5E0D0"/>
      </right>
      <top style="thin">
        <color rgb="FFE5E0D0"/>
      </top>
      <bottom/>
      <diagonal/>
    </border>
    <border diagonalUp="false" diagonalDown="false">
      <left/>
      <right/>
      <top/>
      <bottom style="thin">
        <color rgb="FFE5E0D0"/>
      </bottom>
      <diagonal/>
    </border>
    <border diagonalUp="false" diagonalDown="false">
      <left style="thin">
        <color rgb="FFE5E0D0"/>
      </left>
      <right style="thin">
        <color rgb="FFE5E0D0"/>
      </right>
      <top/>
      <bottom/>
      <diagonal/>
    </border>
    <border diagonalUp="false" diagonalDown="false">
      <left style="thin">
        <color rgb="FFE5E0D0"/>
      </left>
      <right style="thin">
        <color rgb="FFE5E0D0"/>
      </right>
      <top/>
      <bottom style="thin">
        <color rgb="FFE5E0D0"/>
      </bottom>
      <diagonal/>
    </border>
    <border diagonalUp="false" diagonalDown="false">
      <left/>
      <right/>
      <top style="medium">
        <color rgb="FFD97706"/>
      </top>
      <bottom/>
      <diagonal/>
    </border>
    <border diagonalUp="false" diagonalDown="false">
      <left style="thin">
        <color rgb="FFE5E0D0"/>
      </left>
      <right style="thin">
        <color rgb="FFE5E0D0"/>
      </right>
      <top style="thin">
        <color rgb="FFE5E0D0"/>
      </top>
      <bottom style="thin">
        <color rgb="FFE5E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2" shrinkToFit="false"/>
      <protection locked="true" hidden="false"/>
    </xf>
    <xf numFmtId="164" fontId="5" fillId="0" borderId="0" xfId="0" applyFont="true" applyBorder="false" applyAlignment="true" applyProtection="false">
      <alignment horizontal="general" vertical="top" textRotation="0" wrapText="true" indent="2"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0" fillId="2" borderId="3" xfId="0" applyFont="true" applyBorder="true" applyAlignment="true" applyProtection="true">
      <alignment horizontal="center" vertical="center" textRotation="0" wrapText="true" indent="0" shrinkToFit="false"/>
      <protection locked="false" hidden="false"/>
    </xf>
    <xf numFmtId="165" fontId="0" fillId="2" borderId="3" xfId="0" applyFont="false" applyBorder="true" applyAlignment="true" applyProtection="true">
      <alignment horizontal="center" vertical="center" textRotation="0" wrapText="true" indent="0" shrinkToFit="false"/>
      <protection locked="false" hidden="false"/>
    </xf>
    <xf numFmtId="166" fontId="0" fillId="2" borderId="3" xfId="0" applyFont="false" applyBorder="true" applyAlignment="true" applyProtection="true">
      <alignment horizontal="center" vertical="center" textRotation="0" wrapText="true" indent="0" shrinkToFit="false"/>
      <protection locked="false" hidden="false"/>
    </xf>
    <xf numFmtId="166" fontId="0" fillId="3" borderId="3" xfId="0" applyFont="false" applyBorder="true" applyAlignment="true" applyProtection="false">
      <alignment horizontal="center" vertical="center" textRotation="0" wrapText="true" indent="0" shrinkToFit="false"/>
      <protection locked="true" hidden="false"/>
    </xf>
    <xf numFmtId="167" fontId="0" fillId="2" borderId="3" xfId="0" applyFont="false" applyBorder="true" applyAlignment="true" applyProtection="true">
      <alignment horizontal="center" vertical="center" textRotation="0" wrapText="true" indent="0" shrinkToFit="false"/>
      <protection locked="false" hidden="false"/>
    </xf>
    <xf numFmtId="166" fontId="0" fillId="3" borderId="3" xfId="0" applyFont="false" applyBorder="true" applyAlignment="true" applyProtection="false">
      <alignment horizontal="center" vertical="center" textRotation="0" wrapText="false" indent="0" shrinkToFit="false"/>
      <protection locked="true" hidden="false"/>
    </xf>
    <xf numFmtId="168" fontId="0" fillId="2" borderId="3" xfId="0" applyFont="false" applyBorder="true" applyAlignment="true" applyProtection="true">
      <alignment horizontal="center" vertical="center" textRotation="0" wrapText="false" indent="0" shrinkToFit="false"/>
      <protection locked="false" hidden="false"/>
    </xf>
    <xf numFmtId="169" fontId="0" fillId="2" borderId="3" xfId="0" applyFont="false" applyBorder="true" applyAlignment="true" applyProtection="true">
      <alignment horizontal="center" vertical="center" textRotation="0" wrapText="false" indent="0" shrinkToFit="false"/>
      <protection locked="false" hidden="false"/>
    </xf>
    <xf numFmtId="169" fontId="0" fillId="3" borderId="3" xfId="0" applyFont="false" applyBorder="true" applyAlignment="true" applyProtection="false">
      <alignment horizontal="center" vertical="center" textRotation="0" wrapText="true" indent="0" shrinkToFit="false"/>
      <protection locked="true" hidden="false"/>
    </xf>
    <xf numFmtId="164" fontId="0" fillId="4" borderId="3" xfId="0" applyFont="false" applyBorder="true" applyAlignment="true" applyProtection="true">
      <alignment horizontal="center" vertical="center" textRotation="0" wrapText="true" indent="0" shrinkToFit="false"/>
      <protection locked="false" hidden="false"/>
    </xf>
    <xf numFmtId="164" fontId="0" fillId="4" borderId="3" xfId="0" applyFont="true" applyBorder="true" applyAlignment="true" applyProtection="true">
      <alignment horizontal="center" vertical="center" textRotation="0" wrapText="false" indent="0" shrinkToFit="false"/>
      <protection locked="false" hidden="false"/>
    </xf>
    <xf numFmtId="164" fontId="0" fillId="4" borderId="3" xfId="0" applyFont="true" applyBorder="true" applyAlignment="true" applyProtection="true">
      <alignment horizontal="center" vertical="bottom" textRotation="0" wrapText="false" indent="0" shrinkToFit="false"/>
      <protection locked="false" hidden="false"/>
    </xf>
    <xf numFmtId="164" fontId="0" fillId="2" borderId="4" xfId="0" applyFont="false" applyBorder="true" applyAlignment="true" applyProtection="true">
      <alignment horizontal="left" vertical="center" textRotation="0" wrapText="true" indent="0" shrinkToFit="false"/>
      <protection locked="false" hidden="false"/>
    </xf>
    <xf numFmtId="164" fontId="0" fillId="2" borderId="5" xfId="0" applyFont="false" applyBorder="true" applyAlignment="true" applyProtection="true">
      <alignment horizontal="left" vertical="center" textRotation="0" wrapText="true" indent="0" shrinkToFit="false"/>
      <protection locked="false" hidden="false"/>
    </xf>
    <xf numFmtId="164" fontId="0" fillId="2" borderId="3" xfId="0" applyFont="false" applyBorder="true" applyAlignment="true" applyProtection="true">
      <alignment horizontal="left" vertical="center" textRotation="0" wrapText="true" indent="0" shrinkToFit="false"/>
      <protection locked="false" hidden="false"/>
    </xf>
    <xf numFmtId="167" fontId="0" fillId="2" borderId="3" xfId="0" applyFont="false" applyBorder="true" applyAlignment="true" applyProtection="true">
      <alignment horizontal="left" vertical="center" textRotation="0" wrapText="true" indent="0" shrinkToFit="false"/>
      <protection locked="false" hidden="false"/>
    </xf>
    <xf numFmtId="166" fontId="0" fillId="2" borderId="3" xfId="0" applyFont="false" applyBorder="true" applyAlignment="true" applyProtection="true">
      <alignment horizontal="left" vertical="center" textRotation="0" wrapText="true" indent="0" shrinkToFit="false"/>
      <protection locked="false" hidden="false"/>
    </xf>
    <xf numFmtId="166" fontId="0" fillId="3" borderId="3" xfId="0" applyFont="false" applyBorder="true" applyAlignment="true" applyProtection="false">
      <alignment horizontal="general" vertical="bottom" textRotation="0" wrapText="false" indent="0" shrinkToFit="false"/>
      <protection locked="true" hidden="false"/>
    </xf>
    <xf numFmtId="165" fontId="0" fillId="2" borderId="3" xfId="0" applyFont="false" applyBorder="true" applyAlignment="true" applyProtection="true">
      <alignment horizontal="general" vertical="bottom" textRotation="0" wrapText="false" indent="0" shrinkToFit="false"/>
      <protection locked="false" hidden="false"/>
    </xf>
    <xf numFmtId="164" fontId="0" fillId="4" borderId="3" xfId="0" applyFont="false" applyBorder="true" applyAlignment="true" applyProtection="true">
      <alignment horizontal="left" vertical="center" textRotation="0" wrapText="true" indent="0" shrinkToFit="false"/>
      <protection locked="false" hidden="false"/>
    </xf>
    <xf numFmtId="164" fontId="0" fillId="2" borderId="6" xfId="0" applyFont="false" applyBorder="true" applyAlignment="true" applyProtection="true">
      <alignment horizontal="left" vertical="center" textRotation="0" wrapText="true" indent="0" shrinkToFit="false"/>
      <protection locked="false" hidden="false"/>
    </xf>
    <xf numFmtId="164" fontId="0" fillId="2" borderId="7" xfId="0" applyFont="false" applyBorder="true" applyAlignment="true" applyProtection="true">
      <alignment horizontal="left" vertical="center" textRotation="0" wrapText="true" indent="0" shrinkToFit="false"/>
      <protection locked="false" hidden="false"/>
    </xf>
    <xf numFmtId="164" fontId="0" fillId="4" borderId="3" xfId="0" applyFont="false" applyBorder="true" applyAlignment="true" applyProtection="true">
      <alignment horizontal="general" vertical="bottom" textRotation="0" wrapText="false" indent="0" shrinkToFit="false"/>
      <protection locked="false" hidden="false"/>
    </xf>
    <xf numFmtId="165" fontId="0" fillId="2" borderId="3" xfId="0" applyFont="false" applyBorder="true" applyAlignment="true" applyProtection="true">
      <alignment horizontal="left" vertical="center" textRotation="0" wrapText="true" indent="0" shrinkToFit="false"/>
      <protection locked="false" hidden="false"/>
    </xf>
    <xf numFmtId="164" fontId="0" fillId="2" borderId="6" xfId="0" applyFont="false" applyBorder="true" applyAlignment="true" applyProtection="true">
      <alignment horizontal="general" vertical="bottom" textRotation="0" wrapText="false" indent="0" shrinkToFit="false"/>
      <protection locked="false" hidden="false"/>
    </xf>
    <xf numFmtId="164" fontId="0" fillId="2" borderId="7" xfId="0" applyFont="false" applyBorder="true" applyAlignment="true" applyProtection="true">
      <alignment horizontal="general" vertical="bottom" textRotation="0" wrapText="false" indent="0" shrinkToFit="false"/>
      <protection locked="false" hidden="false"/>
    </xf>
    <xf numFmtId="164" fontId="0" fillId="2" borderId="3" xfId="0" applyFont="false" applyBorder="true" applyAlignment="true" applyProtection="true">
      <alignment horizontal="general" vertical="bottom" textRotation="0" wrapText="false" indent="0" shrinkToFit="false"/>
      <protection locked="false" hidden="false"/>
    </xf>
    <xf numFmtId="166" fontId="0" fillId="2" borderId="3" xfId="0" applyFont="false" applyBorder="true" applyAlignment="true" applyProtection="true">
      <alignment horizontal="general" vertical="bottom" textRotation="0" wrapText="false" indent="0" shrinkToFit="false"/>
      <protection locked="false" hidden="false"/>
    </xf>
    <xf numFmtId="167" fontId="0" fillId="2" borderId="3" xfId="0" applyFont="false" applyBorder="true" applyAlignment="true" applyProtection="true">
      <alignment horizontal="general" vertical="bottom" textRotation="0" wrapText="false" indent="0" shrinkToFit="false"/>
      <protection locked="fals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left" vertical="center" textRotation="0" wrapText="false" indent="0" shrinkToFit="false"/>
      <protection locked="true" hidden="false"/>
    </xf>
    <xf numFmtId="165" fontId="0" fillId="2" borderId="6" xfId="0" applyFont="false" applyBorder="true" applyAlignment="true" applyProtection="true">
      <alignment horizontal="left" vertical="center" textRotation="0" wrapText="true" indent="0" shrinkToFit="false"/>
      <protection locked="false" hidden="false"/>
    </xf>
    <xf numFmtId="164" fontId="0" fillId="2" borderId="6" xfId="0" applyFont="true" applyBorder="true" applyAlignment="true" applyProtection="true">
      <alignment horizontal="left" vertical="center" textRotation="0" wrapText="true" indent="0" shrinkToFit="false"/>
      <protection locked="false" hidden="false"/>
    </xf>
    <xf numFmtId="166" fontId="0" fillId="2" borderId="6" xfId="0" applyFont="false" applyBorder="true" applyAlignment="true" applyProtection="true">
      <alignment horizontal="left" vertical="center" textRotation="0" wrapText="true" indent="0" shrinkToFit="false"/>
      <protection locked="fals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2" borderId="2" xfId="0" applyFont="true" applyBorder="true" applyAlignment="true" applyProtection="true">
      <alignment horizontal="left" vertical="center" textRotation="0" wrapText="true" indent="0" shrinkToFit="false"/>
      <protection locked="false" hidden="false"/>
    </xf>
    <xf numFmtId="166" fontId="0" fillId="2" borderId="2" xfId="0" applyFont="false" applyBorder="true" applyAlignment="true" applyProtection="true">
      <alignment horizontal="left" vertical="center" textRotation="0" wrapText="true" indent="0" shrinkToFit="false"/>
      <protection locked="false" hidden="false"/>
    </xf>
    <xf numFmtId="164" fontId="0" fillId="2" borderId="2" xfId="0" applyFont="false" applyBorder="true" applyAlignment="true" applyProtection="true">
      <alignment horizontal="left" vertical="center" textRotation="0" wrapText="true" indent="0" shrinkToFit="false"/>
      <protection locked="false" hidden="false"/>
    </xf>
    <xf numFmtId="165" fontId="0" fillId="2" borderId="2" xfId="0" applyFont="false" applyBorder="true" applyAlignment="true" applyProtection="true">
      <alignment horizontal="left" vertical="center" textRotation="0" wrapText="true" indent="0" shrinkToFit="false"/>
      <protection locked="false" hidden="false"/>
    </xf>
    <xf numFmtId="165" fontId="0" fillId="7" borderId="6" xfId="0" applyFont="false" applyBorder="true" applyAlignment="true" applyProtection="false">
      <alignment horizontal="left" vertical="center" textRotation="0" wrapText="true" indent="0" shrinkToFit="false"/>
      <protection locked="true" hidden="false"/>
    </xf>
    <xf numFmtId="164" fontId="0" fillId="7" borderId="6" xfId="0" applyFont="false" applyBorder="true" applyAlignment="true" applyProtection="false">
      <alignment horizontal="left" vertical="center" textRotation="0" wrapText="true" indent="0" shrinkToFit="false"/>
      <protection locked="true" hidden="false"/>
    </xf>
    <xf numFmtId="166" fontId="0" fillId="7" borderId="6" xfId="0" applyFont="fals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5" borderId="6"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left" vertical="top" textRotation="0" wrapText="true" indent="0" shrinkToFit="false"/>
      <protection locked="true" hidden="false"/>
    </xf>
    <xf numFmtId="166" fontId="0" fillId="0" borderId="6" xfId="0" applyFont="false" applyBorder="true" applyAlignment="true" applyProtection="false">
      <alignment horizontal="right" vertical="center" textRotation="0" wrapText="false" indent="0" shrinkToFit="false"/>
      <protection locked="true" hidden="false"/>
    </xf>
    <xf numFmtId="169" fontId="0" fillId="0" borderId="6" xfId="0" applyFont="false" applyBorder="true" applyAlignment="true" applyProtection="false">
      <alignment horizontal="right" vertical="center" textRotation="0" wrapText="false" indent="0" shrinkToFit="false"/>
      <protection locked="true" hidden="false"/>
    </xf>
    <xf numFmtId="164" fontId="16" fillId="8" borderId="6" xfId="0" applyFont="true" applyBorder="true" applyAlignment="true" applyProtection="false">
      <alignment horizontal="center" vertical="center" textRotation="0" wrapText="true" indent="0" shrinkToFit="false"/>
      <protection locked="true" hidden="false"/>
    </xf>
    <xf numFmtId="166" fontId="0" fillId="8" borderId="6" xfId="0" applyFont="false" applyBorder="true" applyAlignment="true" applyProtection="false">
      <alignment horizontal="center" vertical="center" textRotation="0" wrapText="true" indent="0" shrinkToFit="false"/>
      <protection locked="true" hidden="false"/>
    </xf>
    <xf numFmtId="169" fontId="0" fillId="8" borderId="6" xfId="0" applyFont="false" applyBorder="true" applyAlignment="true" applyProtection="false">
      <alignment horizontal="center"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false" indent="0" shrinkToFit="false"/>
      <protection locked="true" hidden="false"/>
    </xf>
    <xf numFmtId="164" fontId="21" fillId="10" borderId="8" xfId="0" applyFont="true" applyBorder="true" applyAlignment="true" applyProtection="false">
      <alignment horizontal="center" vertical="center" textRotation="0" wrapText="false" indent="0" shrinkToFit="false"/>
      <protection locked="true" hidden="false"/>
    </xf>
    <xf numFmtId="164" fontId="20" fillId="11" borderId="0" xfId="0" applyFont="true" applyBorder="true" applyAlignment="true" applyProtection="false">
      <alignment horizontal="left" vertical="center" textRotation="0" wrapText="fals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70" fontId="22" fillId="12" borderId="0" xfId="0" applyFont="true" applyBorder="true" applyAlignment="true" applyProtection="false">
      <alignment horizontal="left" vertical="center" textRotation="0" wrapText="false" indent="0" shrinkToFit="false"/>
      <protection locked="true" hidden="false"/>
    </xf>
    <xf numFmtId="170" fontId="23" fillId="12" borderId="0" xfId="0" applyFont="true" applyBorder="true" applyAlignment="true" applyProtection="false">
      <alignment horizontal="left" vertical="center" textRotation="0" wrapText="false" indent="0" shrinkToFit="false"/>
      <protection locked="true" hidden="false"/>
    </xf>
    <xf numFmtId="170" fontId="24" fillId="12" borderId="0" xfId="0" applyFont="true" applyBorder="true" applyAlignment="true" applyProtection="false">
      <alignment horizontal="left" vertical="center" textRotation="0" wrapText="false" indent="0" shrinkToFit="false"/>
      <protection locked="true" hidden="false"/>
    </xf>
    <xf numFmtId="169" fontId="22" fillId="12" borderId="0" xfId="0" applyFont="true" applyBorder="true" applyAlignment="true" applyProtection="false">
      <alignment horizontal="left" vertical="center" textRotation="0" wrapText="false" indent="0" shrinkToFit="false"/>
      <protection locked="true" hidden="false"/>
    </xf>
    <xf numFmtId="164" fontId="25" fillId="12" borderId="9" xfId="0" applyFont="true" applyBorder="true" applyAlignment="true" applyProtection="false">
      <alignment horizontal="left" vertical="center" textRotation="0" wrapText="false" indent="0" shrinkToFit="false"/>
      <protection locked="true" hidden="false"/>
    </xf>
    <xf numFmtId="164" fontId="25" fillId="12" borderId="10" xfId="0" applyFont="true" applyBorder="true" applyAlignment="true" applyProtection="false">
      <alignment horizontal="left" vertical="center" textRotation="0" wrapText="false" indent="0" shrinkToFit="false"/>
      <protection locked="true" hidden="false"/>
    </xf>
    <xf numFmtId="164" fontId="25" fillId="12" borderId="11" xfId="0" applyFont="true" applyBorder="true" applyAlignment="true" applyProtection="false">
      <alignment horizontal="left" vertical="center"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7" fillId="9" borderId="12" xfId="0" applyFont="true" applyBorder="true" applyAlignment="true" applyProtection="false">
      <alignment horizontal="left" vertical="center" textRotation="0" wrapText="false" indent="0" shrinkToFit="false"/>
      <protection locked="true" hidden="false"/>
    </xf>
    <xf numFmtId="164" fontId="27" fillId="9" borderId="12" xfId="0" applyFont="true" applyBorder="true" applyAlignment="true" applyProtection="false">
      <alignment horizontal="right" vertical="center" textRotation="0" wrapText="false" indent="0" shrinkToFit="false"/>
      <protection locked="true" hidden="false"/>
    </xf>
    <xf numFmtId="164" fontId="28" fillId="0" borderId="13" xfId="0" applyFont="true" applyBorder="true" applyAlignment="true" applyProtection="false">
      <alignment horizontal="center" vertical="center" textRotation="0" wrapText="false" indent="0" shrinkToFit="false"/>
      <protection locked="true" hidden="false"/>
    </xf>
    <xf numFmtId="164" fontId="26" fillId="0" borderId="14" xfId="0" applyFont="true" applyBorder="true" applyAlignment="true" applyProtection="false">
      <alignment horizontal="left" vertical="center" textRotation="0" wrapText="false" indent="0" shrinkToFit="false"/>
      <protection locked="true" hidden="false"/>
    </xf>
    <xf numFmtId="170" fontId="29" fillId="0" borderId="14" xfId="0" applyFont="true" applyBorder="true" applyAlignment="true" applyProtection="false">
      <alignment horizontal="right" vertical="center" textRotation="0" wrapText="false" indent="0" shrinkToFit="false"/>
      <protection locked="true" hidden="false"/>
    </xf>
    <xf numFmtId="171" fontId="30" fillId="0" borderId="14" xfId="0" applyFont="true" applyBorder="true" applyAlignment="true" applyProtection="false">
      <alignment horizontal="right" vertical="center" textRotation="0" wrapText="false" indent="0" shrinkToFit="false"/>
      <protection locked="true" hidden="false"/>
    </xf>
    <xf numFmtId="169" fontId="29" fillId="0" borderId="14" xfId="0" applyFont="true" applyBorder="true" applyAlignment="true" applyProtection="false">
      <alignment horizontal="right" vertical="center" textRotation="0" wrapText="false" indent="0" shrinkToFit="false"/>
      <protection locked="true" hidden="false"/>
    </xf>
    <xf numFmtId="164" fontId="31" fillId="0" borderId="15" xfId="0" applyFont="true" applyBorder="true" applyAlignment="true" applyProtection="false">
      <alignment horizontal="center" vertical="center" textRotation="0" wrapText="false" indent="0" shrinkToFit="false"/>
      <protection locked="true" hidden="false"/>
    </xf>
    <xf numFmtId="164" fontId="26" fillId="13" borderId="14" xfId="0" applyFont="true" applyBorder="true" applyAlignment="true" applyProtection="false">
      <alignment horizontal="left" vertical="center" textRotation="0" wrapText="false" indent="0" shrinkToFit="false"/>
      <protection locked="true" hidden="false"/>
    </xf>
    <xf numFmtId="170" fontId="29" fillId="13" borderId="14" xfId="0" applyFont="true" applyBorder="true" applyAlignment="true" applyProtection="false">
      <alignment horizontal="right" vertical="center" textRotation="0" wrapText="false" indent="0" shrinkToFit="false"/>
      <protection locked="true" hidden="false"/>
    </xf>
    <xf numFmtId="171" fontId="30" fillId="13" borderId="14" xfId="0" applyFont="true" applyBorder="true" applyAlignment="true" applyProtection="false">
      <alignment horizontal="right" vertical="center" textRotation="0" wrapText="false" indent="0" shrinkToFit="false"/>
      <protection locked="true" hidden="false"/>
    </xf>
    <xf numFmtId="169" fontId="29" fillId="13" borderId="14" xfId="0" applyFont="true" applyBorder="true" applyAlignment="true" applyProtection="false">
      <alignment horizontal="right" vertical="center" textRotation="0" wrapText="false" indent="0" shrinkToFit="false"/>
      <protection locked="true" hidden="false"/>
    </xf>
    <xf numFmtId="164" fontId="32" fillId="0" borderId="16" xfId="0" applyFont="true" applyBorder="true" applyAlignment="true" applyProtection="false">
      <alignment horizontal="center" vertical="center" textRotation="0" wrapText="true" indent="0" shrinkToFit="false"/>
      <protection locked="true" hidden="false"/>
    </xf>
    <xf numFmtId="164" fontId="30" fillId="10" borderId="17" xfId="0" applyFont="true" applyBorder="true" applyAlignment="true" applyProtection="false">
      <alignment horizontal="left" vertical="center" textRotation="0" wrapText="false" indent="0" shrinkToFit="false"/>
      <protection locked="true" hidden="false"/>
    </xf>
    <xf numFmtId="170" fontId="30" fillId="10" borderId="17" xfId="0" applyFont="true" applyBorder="true" applyAlignment="true" applyProtection="false">
      <alignment horizontal="right" vertical="center" textRotation="0" wrapText="false" indent="0" shrinkToFit="false"/>
      <protection locked="true" hidden="false"/>
    </xf>
    <xf numFmtId="171" fontId="30" fillId="10" borderId="17" xfId="0" applyFont="true" applyBorder="true" applyAlignment="true" applyProtection="false">
      <alignment horizontal="right" vertical="center" textRotation="0" wrapText="false" indent="0" shrinkToFit="false"/>
      <protection locked="true" hidden="false"/>
    </xf>
    <xf numFmtId="169" fontId="30" fillId="10" borderId="17" xfId="0" applyFont="true" applyBorder="true" applyAlignment="true" applyProtection="false">
      <alignment horizontal="right" vertical="center" textRotation="0" wrapText="false" indent="0" shrinkToFit="false"/>
      <protection locked="true" hidden="false"/>
    </xf>
    <xf numFmtId="164" fontId="27" fillId="9" borderId="12" xfId="0" applyFont="true" applyBorder="true" applyAlignment="true" applyProtection="false">
      <alignment horizontal="center" vertical="center" textRotation="0" wrapText="true" indent="0" shrinkToFit="false"/>
      <protection locked="true" hidden="false"/>
    </xf>
    <xf numFmtId="164" fontId="29" fillId="0" borderId="14" xfId="0" applyFont="true" applyBorder="true" applyAlignment="true" applyProtection="false">
      <alignment horizontal="left" vertical="center" textRotation="0" wrapText="false" indent="0" shrinkToFit="false"/>
      <protection locked="true" hidden="false"/>
    </xf>
    <xf numFmtId="164" fontId="33" fillId="0" borderId="14" xfId="0" applyFont="true" applyBorder="true" applyAlignment="true" applyProtection="false">
      <alignment horizontal="left" vertical="center" textRotation="0" wrapText="false" indent="0" shrinkToFit="false"/>
      <protection locked="true" hidden="false"/>
    </xf>
    <xf numFmtId="172" fontId="29" fillId="0" borderId="14" xfId="0" applyFont="true" applyBorder="true" applyAlignment="true" applyProtection="false">
      <alignment horizontal="right" vertical="center" textRotation="0" wrapText="false" indent="0" shrinkToFit="false"/>
      <protection locked="true" hidden="false"/>
    </xf>
    <xf numFmtId="164" fontId="29" fillId="13" borderId="14" xfId="0" applyFont="true" applyBorder="true" applyAlignment="true" applyProtection="false">
      <alignment horizontal="left" vertical="center" textRotation="0" wrapText="false" indent="0" shrinkToFit="false"/>
      <protection locked="true" hidden="false"/>
    </xf>
    <xf numFmtId="164" fontId="33" fillId="13" borderId="14" xfId="0" applyFont="true" applyBorder="true" applyAlignment="true" applyProtection="false">
      <alignment horizontal="left" vertical="center" textRotation="0" wrapText="false" indent="0" shrinkToFit="false"/>
      <protection locked="true" hidden="false"/>
    </xf>
    <xf numFmtId="172" fontId="29" fillId="13" borderId="14" xfId="0" applyFont="true" applyBorder="true" applyAlignment="true" applyProtection="false">
      <alignment horizontal="right" vertical="center" textRotation="0" wrapText="false" indent="0" shrinkToFit="false"/>
      <protection locked="true" hidden="false"/>
    </xf>
    <xf numFmtId="164" fontId="34" fillId="0" borderId="0" xfId="0" applyFont="true" applyBorder="true" applyAlignment="true" applyProtection="false">
      <alignment horizontal="left" vertical="center"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general" vertical="bottom" textRotation="0" wrapText="false" indent="0" shrinkToFit="false"/>
      <protection locked="true" hidden="false"/>
    </xf>
    <xf numFmtId="164" fontId="39" fillId="9" borderId="18" xfId="0" applyFont="true" applyBorder="true" applyAlignment="true" applyProtection="false">
      <alignment horizontal="center" vertical="center" textRotation="0" wrapText="true" indent="0" shrinkToFit="false"/>
      <protection locked="true" hidden="false"/>
    </xf>
    <xf numFmtId="164" fontId="33" fillId="2" borderId="14" xfId="0" applyFont="true" applyBorder="true" applyAlignment="true" applyProtection="true">
      <alignment horizontal="left" vertical="center" textRotation="0" wrapText="false" indent="0" shrinkToFit="false"/>
      <protection locked="false" hidden="false"/>
    </xf>
    <xf numFmtId="172" fontId="29" fillId="2" borderId="14" xfId="0" applyFont="true" applyBorder="true" applyAlignment="true" applyProtection="true">
      <alignment horizontal="right" vertical="center" textRotation="0" wrapText="false" indent="0" shrinkToFit="false"/>
      <protection locked="false" hidden="false"/>
    </xf>
    <xf numFmtId="164" fontId="40" fillId="2" borderId="14" xfId="0" applyFont="true" applyBorder="true" applyAlignment="true" applyProtection="true">
      <alignment horizontal="left" vertical="top" textRotation="0" wrapText="true" indent="0" shrinkToFit="false"/>
      <protection locked="false" hidden="false"/>
    </xf>
    <xf numFmtId="173" fontId="29" fillId="2" borderId="14" xfId="0" applyFont="true" applyBorder="true" applyAlignment="true" applyProtection="true">
      <alignment horizontal="right" vertical="center" textRotation="0" wrapText="false" indent="0" shrinkToFit="false"/>
      <protection locked="false" hidden="false"/>
    </xf>
    <xf numFmtId="173" fontId="29" fillId="0" borderId="14" xfId="0" applyFont="true" applyBorder="true" applyAlignment="true" applyProtection="false">
      <alignment horizontal="right" vertical="center" textRotation="0" wrapText="false" indent="0" shrinkToFit="false"/>
      <protection locked="true" hidden="false"/>
    </xf>
    <xf numFmtId="174" fontId="29" fillId="0" borderId="14"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14" borderId="0" xfId="0" applyFont="true" applyBorder="false" applyAlignment="true" applyProtection="false">
      <alignment horizontal="center" vertical="bottom" textRotation="0" wrapText="false" indent="0" shrinkToFit="false"/>
      <protection locked="true" hidden="false"/>
    </xf>
    <xf numFmtId="164" fontId="44" fillId="15" borderId="0" xfId="0" applyFont="true" applyBorder="false" applyAlignment="true" applyProtection="false">
      <alignment horizontal="left" vertical="bottom" textRotation="0" wrapText="false" indent="0" shrinkToFit="false"/>
      <protection locked="true" hidden="false"/>
    </xf>
    <xf numFmtId="175" fontId="44" fillId="15"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4E79"/>
          <bgColor rgb="FF000000"/>
        </patternFill>
      </fill>
    </dxf>
    <dxf>
      <fill>
        <patternFill patternType="solid">
          <fgColor rgb="FFFFF8D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CECEC"/>
          <bgColor rgb="FF000000"/>
        </patternFill>
      </fill>
    </dxf>
    <dxf>
      <fill>
        <patternFill patternType="solid">
          <fgColor rgb="FFE8F4E0"/>
          <bgColor rgb="FF000000"/>
        </patternFill>
      </fill>
    </dxf>
    <dxf>
      <fill>
        <patternFill patternType="solid">
          <fgColor rgb="FF4A4A4A"/>
          <bgColor rgb="FF000000"/>
        </patternFill>
      </fill>
    </dxf>
    <dxf>
      <fill>
        <patternFill patternType="solid">
          <bgColor rgb="FF000000"/>
        </patternFill>
      </fill>
    </dxf>
    <dxf>
      <font>
        <name val="Consolas"/>
        <charset val="1"/>
        <family val="0"/>
        <b val="1"/>
        <color rgb="FF059669"/>
        <sz val="10"/>
      </font>
      <fill>
        <patternFill>
          <bgColor rgb="FFD1FAE5"/>
        </patternFill>
      </fill>
    </dxf>
    <dxf>
      <font>
        <name val="Consolas"/>
        <charset val="1"/>
        <family val="0"/>
        <b val="1"/>
        <color rgb="FF92400E"/>
        <sz val="10"/>
      </font>
      <fill>
        <patternFill>
          <bgColor rgb="FFFEF3C7"/>
        </patternFill>
      </fill>
    </dxf>
    <dxf>
      <font>
        <name val="Consolas"/>
        <charset val="1"/>
        <family val="0"/>
        <b val="1"/>
        <color rgb="FFDC2626"/>
        <sz val="10"/>
      </font>
      <fill>
        <patternFill>
          <bgColor rgb="FFFEE2E2"/>
        </patternFill>
      </fill>
    </dxf>
    <dxf>
      <font>
        <name val="Segoe UI"/>
        <charset val="1"/>
        <family val="0"/>
        <b val="1"/>
        <color rgb="FF059669"/>
        <sz val="10"/>
      </font>
      <fill>
        <patternFill>
          <bgColor rgb="FFD1FAE5"/>
        </patternFill>
      </fill>
    </dxf>
    <dxf>
      <font>
        <name val="Segoe UI"/>
        <charset val="1"/>
        <family val="0"/>
        <b val="1"/>
        <color rgb="FF7C3AED"/>
        <sz val="10"/>
      </font>
      <fill>
        <patternFill>
          <bgColor rgb="FFEDE9FE"/>
        </patternFill>
      </fill>
    </dxf>
    <dxf>
      <font>
        <name val="Segoe UI"/>
        <charset val="1"/>
        <family val="0"/>
        <b val="1"/>
        <color rgb="FF92400E"/>
        <sz val="10"/>
      </font>
      <fill>
        <patternFill>
          <bgColor rgb="FFFEF3C7"/>
        </patternFill>
      </fill>
    </dxf>
    <dxf>
      <font>
        <name val="Segoe UI"/>
        <charset val="1"/>
        <family val="0"/>
        <color rgb="FF7A90B0"/>
        <sz val="10"/>
      </font>
      <fill>
        <patternFill>
          <bgColor rgb="FFEEEEEE"/>
        </patternFill>
      </fill>
    </dxf>
    <dxf>
      <font>
        <name val="Segoe UI"/>
        <charset val="1"/>
        <family val="0"/>
        <b val="1"/>
        <color rgb="FFDC2626"/>
        <sz val="10"/>
      </font>
      <fill>
        <patternFill>
          <bgColor rgb="FFFEE2E2"/>
        </patternFill>
      </fill>
    </dxf>
    <dxf>
      <fill>
        <patternFill>
          <bgColor rgb="FFD1FAE5"/>
        </patternFill>
      </fill>
    </dxf>
    <dxf>
      <fill>
        <patternFill>
          <bgColor rgb="FFFEF3C7"/>
        </patternFill>
      </fill>
    </dxf>
    <dxf>
      <fill>
        <patternFill>
          <bgColor rgb="FFFEE2E2"/>
        </patternFill>
      </fill>
    </dxf>
  </dxfs>
  <colors>
    <indexedColors>
      <rgbColor rgb="FF000000"/>
      <rgbColor rgb="FFFFFFFF"/>
      <rgbColor rgb="FFDC2626"/>
      <rgbColor rgb="FFEEEEEE"/>
      <rgbColor rgb="FF0000FF"/>
      <rgbColor rgb="FFFEE2E2"/>
      <rgbColor rgb="FFFAFAF5"/>
      <rgbColor rgb="FFECECEC"/>
      <rgbColor rgb="FF666666"/>
      <rgbColor rgb="FF4A4A4A"/>
      <rgbColor rgb="FF1A1A2E"/>
      <rgbColor rgb="FF738B42"/>
      <rgbColor rgb="FF7C3AED"/>
      <rgbColor rgb="FF059669"/>
      <rgbColor rgb="FFB3B3B3"/>
      <rgbColor rgb="FF7A90B0"/>
      <rgbColor rgb="FFA6A6A6"/>
      <rgbColor rgb="FF8F3B39"/>
      <rgbColor rgb="FFFFF8DC"/>
      <rgbColor rgb="FFEAF2F8"/>
      <rgbColor rgb="FF5F4A78"/>
      <rgbColor rgb="FFC0504D"/>
      <rgbColor rgb="FF3A608D"/>
      <rgbColor rgb="FFD9D9D9"/>
      <rgbColor rgb="FF000080"/>
      <rgbColor rgb="FFFF00FF"/>
      <rgbColor rgb="FFF7F4EC"/>
      <rgbColor rgb="FFEDE9FE"/>
      <rgbColor rgb="FF8064A2"/>
      <rgbColor rgb="FF800000"/>
      <rgbColor rgb="FF4F81BD"/>
      <rgbColor rgb="FF0000FF"/>
      <rgbColor rgb="FF49A7C0"/>
      <rgbColor rgb="FFE8F4E0"/>
      <rgbColor rgb="FFD1FAE5"/>
      <rgbColor rgb="FFFEF3C7"/>
      <rgbColor rgb="FF99CCFF"/>
      <rgbColor rgb="FFE5E0D0"/>
      <rgbColor rgb="FFB0B0B0"/>
      <rgbColor rgb="FFFCD34D"/>
      <rgbColor rgb="FF4C7DB7"/>
      <rgbColor rgb="FF4BACC6"/>
      <rgbColor rgb="FF9BBB59"/>
      <rgbColor rgb="FF96B656"/>
      <rgbColor rgb="FFD9E1F2"/>
      <rgbColor rgb="FFD97706"/>
      <rgbColor rgb="FF7C619D"/>
      <rgbColor rgb="FF9CA3AF"/>
      <rgbColor rgb="FF1F4E79"/>
      <rgbColor rgb="FF378093"/>
      <rgbColor rgb="FF0D1420"/>
      <rgbColor rgb="FF1A1A1A"/>
      <rgbColor rgb="FF92400E"/>
      <rgbColor rgb="FFBA4D4A"/>
      <rgbColor rgb="FF2A4A6A"/>
      <rgbColor rgb="FF162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Funded Allocation</a:t>
            </a:r>
          </a:p>
        </c:rich>
      </c:tx>
      <c:overlay val="0"/>
      <c:spPr>
        <a:noFill/>
        <a:ln w="0">
          <a:noFill/>
        </a:ln>
      </c:spPr>
    </c:title>
    <c:autoTitleDeleted val="0"/>
    <c:plotArea>
      <c:doughnutChart>
        <c:varyColors val="1"/>
        <c:ser>
          <c:idx val="0"/>
          <c:order val="0"/>
          <c:tx>
            <c:strRef>
              <c:f>Dashboard!$D$14</c:f>
              <c:strCache>
                <c:ptCount val="1"/>
                <c:pt idx="0">
                  <c:v>FUNDED</c:v>
                </c:pt>
              </c:strCache>
            </c:strRef>
          </c:tx>
          <c:spPr>
            <a:gradFill>
              <a:gsLst>
                <a:gs pos="0">
                  <a:srgbClr val="3a608d"/>
                </a:gs>
                <a:gs pos="80000">
                  <a:srgbClr val="4c7cb7"/>
                </a:gs>
                <a:gs pos="100000">
                  <a:srgbClr val="4c7db7"/>
                </a:gs>
              </a:gsLst>
              <a:lin ang="16200000"/>
            </a:gradFill>
            <a:ln w="0">
              <a:noFill/>
            </a:ln>
          </c:spPr>
          <c:explosion val="0"/>
          <c:dPt>
            <c:idx val="0"/>
            <c:spPr>
              <a:solidFill>
                <a:srgbClr val="4f81bd"/>
              </a:solidFill>
              <a:ln w="0">
                <a:noFill/>
              </a:ln>
            </c:spPr>
          </c:dPt>
          <c:dPt>
            <c:idx val="1"/>
            <c:spPr>
              <a:gradFill>
                <a:gsLst>
                  <a:gs pos="0">
                    <a:srgbClr val="8f3b39"/>
                  </a:gs>
                  <a:gs pos="80000">
                    <a:srgbClr val="ba4d4a"/>
                  </a:gs>
                  <a:gs pos="100000">
                    <a:srgbClr val="ba4d4a"/>
                  </a:gs>
                </a:gsLst>
                <a:lin ang="16200000"/>
              </a:gradFill>
              <a:ln w="0">
                <a:noFill/>
              </a:ln>
            </c:spPr>
          </c:dPt>
          <c:dPt>
            <c:idx val="2"/>
            <c:spPr>
              <a:gradFill>
                <a:gsLst>
                  <a:gs pos="0">
                    <a:srgbClr val="738b42"/>
                  </a:gs>
                  <a:gs pos="80000">
                    <a:srgbClr val="96b556"/>
                  </a:gs>
                  <a:gs pos="100000">
                    <a:srgbClr val="96b656"/>
                  </a:gs>
                </a:gsLst>
                <a:lin ang="16200000"/>
              </a:gradFill>
              <a:ln w="0">
                <a:noFill/>
              </a:ln>
            </c:spPr>
          </c:dPt>
          <c:dPt>
            <c:idx val="3"/>
            <c:spPr>
              <a:gradFill>
                <a:gsLst>
                  <a:gs pos="0">
                    <a:srgbClr val="5f4a78"/>
                  </a:gs>
                  <a:gs pos="80000">
                    <a:srgbClr val="7c609c"/>
                  </a:gs>
                  <a:gs pos="100000">
                    <a:srgbClr val="7c619d"/>
                  </a:gs>
                </a:gsLst>
                <a:lin ang="16200000"/>
              </a:gradFill>
              <a:ln w="0">
                <a:noFill/>
              </a:ln>
            </c:spPr>
          </c:dPt>
          <c:dPt>
            <c:idx val="4"/>
            <c:spPr>
              <a:gradFill>
                <a:gsLst>
                  <a:gs pos="0">
                    <a:srgbClr val="378093"/>
                  </a:gs>
                  <a:gs pos="80000">
                    <a:srgbClr val="48a6bf"/>
                  </a:gs>
                  <a:gs pos="100000">
                    <a:srgbClr val="49a7c0"/>
                  </a:gs>
                </a:gsLst>
                <a:lin ang="16200000"/>
              </a:gradFill>
              <a:ln w="0">
                <a:noFill/>
              </a:ln>
            </c:spPr>
          </c:dPt>
          <c:dLbls>
            <c:numFmt formatCode="\$#,##0;&quot;($&quot;#,##0\);\—" sourceLinked="1"/>
            <c:dLbl>
              <c:idx val="0"/>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Dashboard!$B$15:$B$19</c:f>
              <c:strCache>
                <c:ptCount val="5"/>
                <c:pt idx="0">
                  <c:v>VC</c:v>
                </c:pt>
                <c:pt idx="1">
                  <c:v>Private Equity</c:v>
                </c:pt>
                <c:pt idx="2">
                  <c:v>Real Estate</c:v>
                </c:pt>
                <c:pt idx="3">
                  <c:v>Private Credit</c:v>
                </c:pt>
                <c:pt idx="4">
                  <c:v>Other</c:v>
                </c:pt>
              </c:strCache>
            </c:strRef>
          </c:cat>
          <c:val>
            <c:numRef>
              <c:f>Dashboard!$D$15:$D$19</c:f>
              <c:numCache>
                <c:formatCode>\$#,##0;"($"#,##0\);\—</c:formatCode>
                <c:ptCount val="5"/>
                <c:pt idx="0">
                  <c:v>130000</c:v>
                </c:pt>
                <c:pt idx="1">
                  <c:v>100000</c:v>
                </c:pt>
                <c:pt idx="2">
                  <c:v>100000</c:v>
                </c:pt>
                <c:pt idx="3">
                  <c:v>10000</c:v>
                </c:pt>
                <c:pt idx="4">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Capital Calls &amp; Contributions vs. Distributions by Quarter</a:t>
            </a:r>
          </a:p>
        </c:rich>
      </c:tx>
      <c:overlay val="0"/>
      <c:spPr>
        <a:noFill/>
        <a:ln w="0">
          <a:noFill/>
        </a:ln>
      </c:spPr>
    </c:title>
    <c:autoTitleDeleted val="0"/>
    <c:plotArea>
      <c:barChart>
        <c:barDir val="col"/>
        <c:grouping val="clustered"/>
        <c:varyColors val="0"/>
        <c:ser>
          <c:idx val="0"/>
          <c:order val="0"/>
          <c:tx>
            <c:strRef>
              <c:f>CashFlow_Chart!$B$5</c:f>
              <c:strCache>
                <c:ptCount val="1"/>
                <c:pt idx="0">
                  <c:v>Contributions ($)</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CashFlow_Chart!$B$6:$B$34</c:f>
              <c:numCache>
                <c:formatCode>\$#,##0;"($"#,##0\);\-</c:formatCode>
                <c:ptCount val="29"/>
                <c:pt idx="0">
                  <c:v>-160000</c:v>
                </c:pt>
                <c:pt idx="1">
                  <c:v>-15000</c:v>
                </c:pt>
                <c:pt idx="2">
                  <c:v>-100000</c:v>
                </c:pt>
                <c:pt idx="3">
                  <c:v>-45000</c:v>
                </c:pt>
                <c:pt idx="4">
                  <c:v>-20000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er>
        <c:ser>
          <c:idx val="1"/>
          <c:order val="1"/>
          <c:tx>
            <c:strRef>
              <c:f>CashFlow_Chart!$C$5</c:f>
              <c:strCache>
                <c:ptCount val="1"/>
                <c:pt idx="0">
                  <c:v>Capital Calls ($)</c:v>
                </c:pt>
              </c:strCache>
            </c:strRef>
          </c:tx>
          <c:spPr>
            <a:solidFill>
              <a:srgbClr val="c0504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CashFlow_Chart!$C$6:$C$34</c:f>
              <c:numCache>
                <c:formatCode>\$#,##0;"($"#,##0\);\-</c:formatCode>
                <c:ptCount val="29"/>
                <c:pt idx="0">
                  <c:v>0</c:v>
                </c:pt>
                <c:pt idx="1">
                  <c:v>0</c:v>
                </c:pt>
                <c:pt idx="2">
                  <c:v>0</c:v>
                </c:pt>
                <c:pt idx="3">
                  <c:v>-12500</c:v>
                </c:pt>
                <c:pt idx="4">
                  <c:v>-22500</c:v>
                </c:pt>
                <c:pt idx="5">
                  <c:v>-22500</c:v>
                </c:pt>
                <c:pt idx="6">
                  <c:v>-22500</c:v>
                </c:pt>
                <c:pt idx="7">
                  <c:v>-22500</c:v>
                </c:pt>
                <c:pt idx="8">
                  <c:v>-22500</c:v>
                </c:pt>
                <c:pt idx="9">
                  <c:v>-22500</c:v>
                </c:pt>
                <c:pt idx="10">
                  <c:v>-22500</c:v>
                </c:pt>
                <c:pt idx="11">
                  <c:v>-22500</c:v>
                </c:pt>
                <c:pt idx="12">
                  <c:v>-22500</c:v>
                </c:pt>
                <c:pt idx="13">
                  <c:v>-12500</c:v>
                </c:pt>
                <c:pt idx="14">
                  <c:v>-12500</c:v>
                </c:pt>
                <c:pt idx="15">
                  <c:v>-12500</c:v>
                </c:pt>
                <c:pt idx="16">
                  <c:v>-12500</c:v>
                </c:pt>
                <c:pt idx="17">
                  <c:v>-12500</c:v>
                </c:pt>
                <c:pt idx="18">
                  <c:v>-12500</c:v>
                </c:pt>
                <c:pt idx="19">
                  <c:v>0</c:v>
                </c:pt>
                <c:pt idx="20">
                  <c:v>0</c:v>
                </c:pt>
                <c:pt idx="21">
                  <c:v>0</c:v>
                </c:pt>
                <c:pt idx="22">
                  <c:v>0</c:v>
                </c:pt>
                <c:pt idx="23">
                  <c:v>0</c:v>
                </c:pt>
                <c:pt idx="24">
                  <c:v>0</c:v>
                </c:pt>
                <c:pt idx="25">
                  <c:v>0</c:v>
                </c:pt>
                <c:pt idx="26">
                  <c:v>0</c:v>
                </c:pt>
                <c:pt idx="27">
                  <c:v>0</c:v>
                </c:pt>
                <c:pt idx="28">
                  <c:v>0</c:v>
                </c:pt>
              </c:numCache>
            </c:numRef>
          </c:val>
        </c:ser>
        <c:ser>
          <c:idx val="2"/>
          <c:order val="2"/>
          <c:tx>
            <c:strRef>
              <c:f>CashFlow_Chart!$D$5</c:f>
              <c:strCache>
                <c:ptCount val="1"/>
                <c:pt idx="0">
                  <c:v>Distributions ($)</c:v>
                </c:pt>
              </c:strCache>
            </c:strRef>
          </c:tx>
          <c:spPr>
            <a:solidFill>
              <a:srgbClr val="9bbb59"/>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CashFlow_Chart!$D$6:$D$34</c:f>
              <c:numCache>
                <c:formatCode>\$#,##0;"($"#,##0\);\-</c:formatCode>
                <c:ptCount val="29"/>
                <c:pt idx="0">
                  <c:v>0</c:v>
                </c:pt>
                <c:pt idx="1">
                  <c:v>0</c:v>
                </c:pt>
                <c:pt idx="2">
                  <c:v>0</c:v>
                </c:pt>
                <c:pt idx="3">
                  <c:v>750</c:v>
                </c:pt>
                <c:pt idx="4">
                  <c:v>8250</c:v>
                </c:pt>
                <c:pt idx="5">
                  <c:v>750</c:v>
                </c:pt>
                <c:pt idx="6">
                  <c:v>9000</c:v>
                </c:pt>
                <c:pt idx="7">
                  <c:v>4500</c:v>
                </c:pt>
                <c:pt idx="8">
                  <c:v>12000</c:v>
                </c:pt>
                <c:pt idx="9">
                  <c:v>4500</c:v>
                </c:pt>
                <c:pt idx="10">
                  <c:v>12000</c:v>
                </c:pt>
                <c:pt idx="11">
                  <c:v>4500</c:v>
                </c:pt>
                <c:pt idx="12">
                  <c:v>12000</c:v>
                </c:pt>
                <c:pt idx="13">
                  <c:v>4500</c:v>
                </c:pt>
                <c:pt idx="14">
                  <c:v>12000</c:v>
                </c:pt>
                <c:pt idx="15">
                  <c:v>4500</c:v>
                </c:pt>
                <c:pt idx="16">
                  <c:v>12000</c:v>
                </c:pt>
                <c:pt idx="17">
                  <c:v>4500</c:v>
                </c:pt>
                <c:pt idx="18">
                  <c:v>12000</c:v>
                </c:pt>
                <c:pt idx="19">
                  <c:v>4500</c:v>
                </c:pt>
                <c:pt idx="20">
                  <c:v>12000</c:v>
                </c:pt>
                <c:pt idx="21">
                  <c:v>4500</c:v>
                </c:pt>
                <c:pt idx="22">
                  <c:v>87000</c:v>
                </c:pt>
                <c:pt idx="23">
                  <c:v>3750</c:v>
                </c:pt>
                <c:pt idx="24">
                  <c:v>8250</c:v>
                </c:pt>
                <c:pt idx="25">
                  <c:v>75750</c:v>
                </c:pt>
                <c:pt idx="26">
                  <c:v>7500</c:v>
                </c:pt>
                <c:pt idx="27">
                  <c:v>87500</c:v>
                </c:pt>
                <c:pt idx="28">
                  <c:v>87500</c:v>
                </c:pt>
              </c:numCache>
            </c:numRef>
          </c:val>
        </c:ser>
        <c:gapWidth val="150"/>
        <c:overlap val="0"/>
        <c:axId val="39300634"/>
        <c:axId val="99941764"/>
      </c:barChart>
      <c:catAx>
        <c:axId val="39300634"/>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Quarter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9941764"/>
        <c:crosses val="autoZero"/>
        <c:auto val="1"/>
        <c:lblAlgn val="ctr"/>
        <c:lblOffset val="100"/>
        <c:noMultiLvlLbl val="0"/>
      </c:catAx>
      <c:valAx>
        <c:axId val="99941764"/>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Amount ($)</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93006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Cumulative Net Cash Flow</a:t>
            </a:r>
          </a:p>
        </c:rich>
      </c:tx>
      <c:overlay val="0"/>
      <c:spPr>
        <a:noFill/>
        <a:ln w="0">
          <a:noFill/>
        </a:ln>
      </c:spPr>
    </c:title>
    <c:autoTitleDeleted val="0"/>
    <c:plotArea>
      <c:lineChart>
        <c:grouping val="standard"/>
        <c:varyColors val="0"/>
        <c:ser>
          <c:idx val="0"/>
          <c:order val="0"/>
          <c:tx>
            <c:strRef>
              <c:f>CashFlow_Chart!$F$5</c:f>
              <c:strCache>
                <c:ptCount val="1"/>
                <c:pt idx="0">
                  <c:v>Cumulative Net ($)</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CashFlow_Chart!$F$6:$F$34</c:f>
              <c:numCache>
                <c:formatCode>\$#,##0;"($"#,##0\);\-</c:formatCode>
                <c:ptCount val="29"/>
                <c:pt idx="0">
                  <c:v>-160000</c:v>
                </c:pt>
                <c:pt idx="1">
                  <c:v>-175000</c:v>
                </c:pt>
                <c:pt idx="2">
                  <c:v>-275000</c:v>
                </c:pt>
                <c:pt idx="3">
                  <c:v>-331750</c:v>
                </c:pt>
                <c:pt idx="4">
                  <c:v>-366000</c:v>
                </c:pt>
                <c:pt idx="5">
                  <c:v>-387750</c:v>
                </c:pt>
                <c:pt idx="6">
                  <c:v>-401250</c:v>
                </c:pt>
                <c:pt idx="7">
                  <c:v>-419250</c:v>
                </c:pt>
                <c:pt idx="8">
                  <c:v>-429750</c:v>
                </c:pt>
                <c:pt idx="9">
                  <c:v>-447750</c:v>
                </c:pt>
                <c:pt idx="10">
                  <c:v>-458250</c:v>
                </c:pt>
                <c:pt idx="11">
                  <c:v>-476250</c:v>
                </c:pt>
                <c:pt idx="12">
                  <c:v>-486750</c:v>
                </c:pt>
                <c:pt idx="13">
                  <c:v>-494750</c:v>
                </c:pt>
                <c:pt idx="14">
                  <c:v>-495250</c:v>
                </c:pt>
                <c:pt idx="15">
                  <c:v>-503250</c:v>
                </c:pt>
                <c:pt idx="16">
                  <c:v>-503750</c:v>
                </c:pt>
                <c:pt idx="17">
                  <c:v>-511750</c:v>
                </c:pt>
                <c:pt idx="18">
                  <c:v>-512250</c:v>
                </c:pt>
                <c:pt idx="19">
                  <c:v>-507750</c:v>
                </c:pt>
                <c:pt idx="20">
                  <c:v>-495750</c:v>
                </c:pt>
                <c:pt idx="21">
                  <c:v>-491250</c:v>
                </c:pt>
                <c:pt idx="22">
                  <c:v>-404250</c:v>
                </c:pt>
                <c:pt idx="23">
                  <c:v>-400500</c:v>
                </c:pt>
                <c:pt idx="24">
                  <c:v>-392250</c:v>
                </c:pt>
                <c:pt idx="25">
                  <c:v>-316500</c:v>
                </c:pt>
                <c:pt idx="26">
                  <c:v>-309000</c:v>
                </c:pt>
                <c:pt idx="27">
                  <c:v>-221500</c:v>
                </c:pt>
                <c:pt idx="28">
                  <c:v>-134000</c:v>
                </c:pt>
              </c:numCache>
            </c:numRef>
          </c:val>
          <c:smooth val="1"/>
        </c:ser>
        <c:hiLowLines>
          <c:spPr>
            <a:ln w="0">
              <a:noFill/>
            </a:ln>
          </c:spPr>
        </c:hiLowLines>
        <c:marker val="0"/>
        <c:axId val="24390669"/>
        <c:axId val="37245147"/>
      </c:lineChart>
      <c:catAx>
        <c:axId val="24390669"/>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Quarter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7245147"/>
        <c:crosses val="autoZero"/>
        <c:auto val="1"/>
        <c:lblAlgn val="ctr"/>
        <c:lblOffset val="100"/>
        <c:noMultiLvlLbl val="0"/>
      </c:catAx>
      <c:valAx>
        <c:axId val="37245147"/>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Cumulative Net ($)</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43906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22</xdr:row>
      <xdr:rowOff>0</xdr:rowOff>
    </xdr:from>
    <xdr:to>
      <xdr:col>14</xdr:col>
      <xdr:colOff>656640</xdr:colOff>
      <xdr:row>37</xdr:row>
      <xdr:rowOff>21240</xdr:rowOff>
    </xdr:to>
    <xdr:graphicFrame>
      <xdr:nvGraphicFramePr>
        <xdr:cNvPr id="0" name="Chart 1"/>
        <xdr:cNvGraphicFramePr/>
      </xdr:nvGraphicFramePr>
      <xdr:xfrm>
        <a:off x="8528760" y="5486400"/>
        <a:ext cx="4321800" cy="2736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160920</xdr:rowOff>
    </xdr:from>
    <xdr:to>
      <xdr:col>25</xdr:col>
      <xdr:colOff>511560</xdr:colOff>
      <xdr:row>36</xdr:row>
      <xdr:rowOff>162720</xdr:rowOff>
    </xdr:to>
    <xdr:graphicFrame>
      <xdr:nvGraphicFramePr>
        <xdr:cNvPr id="1" name="Chart 1"/>
        <xdr:cNvGraphicFramePr/>
      </xdr:nvGraphicFramePr>
      <xdr:xfrm>
        <a:off x="7797960" y="570600"/>
        <a:ext cx="11461320" cy="6154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38</xdr:row>
      <xdr:rowOff>160920</xdr:rowOff>
    </xdr:from>
    <xdr:to>
      <xdr:col>25</xdr:col>
      <xdr:colOff>511560</xdr:colOff>
      <xdr:row>65</xdr:row>
      <xdr:rowOff>56160</xdr:rowOff>
    </xdr:to>
    <xdr:graphicFrame>
      <xdr:nvGraphicFramePr>
        <xdr:cNvPr id="2" name="Chart 2"/>
        <xdr:cNvGraphicFramePr/>
      </xdr:nvGraphicFramePr>
      <xdr:xfrm>
        <a:off x="7797960" y="7085520"/>
        <a:ext cx="11461320" cy="4781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CashFlows" displayName="tblCashFlows" ref="A5:H119" headerRowCount="1" totalsRowCount="0" totalsRowShown="0">
  <autoFilter ref="A5:H119"/>
  <tableColumns count="8">
    <tableColumn id="1" name="Date"/>
    <tableColumn id="2" name="Deal Name"/>
    <tableColumn id="3" name="Account Type"/>
    <tableColumn id="4" name="Flow Type"/>
    <tableColumn id="5" name="Amount ($)"/>
    <tableColumn id="6" name="Notes"/>
    <tableColumn id="7" name="Call Type"/>
    <tableColumn id="8" name="Column2"/>
  </tableColumns>
</table>
</file>

<file path=xl/tables/table2.xml><?xml version="1.0" encoding="utf-8"?>
<table xmlns="http://schemas.openxmlformats.org/spreadsheetml/2006/main" id="2" name="tblInvestments" displayName="tblInvestments" ref="A6:AE56" headerRowCount="1" totalsRowCount="0" totalsRowShown="0">
  <autoFilter ref="A6:AE56"/>
  <tableColumns count="31">
    <tableColumn id="1" name="Deal ID"/>
    <tableColumn id="2" name="Deal Name"/>
    <tableColumn id="3" name="Sponsor/Manager"/>
    <tableColumn id="4" name="Asset Class"/>
    <tableColumn id="5" name="VS Stage"/>
    <tableColumn id="6" name="Portfolio Role"/>
    <tableColumn id="7" name="Deal Status"/>
    <tableColumn id="8" name="Sub-Strategy"/>
    <tableColumn id="9" name="Vehicle Type"/>
    <tableColumn id="10" name="Account Type"/>
    <tableColumn id="11" name="Entity/Title"/>
    <tableColumn id="12" name="Tax Bucket (est.)"/>
    <tableColumn id="13" name="Date Committed"/>
    <tableColumn id="14" name="Date Funded"/>
    <tableColumn id="15" name="Commitment ($)"/>
    <tableColumn id="16" name="Amount Funded ($)"/>
    <tableColumn id="17" name="Unfunded ($)"/>
    <tableColumn id="18" name="Capital Call Schedule"/>
    <tableColumn id="19" name="Lockup (yrs)"/>
    <tableColumn id="20" name="Target Horizon (yrs)"/>
    <tableColumn id="21" name="Current Value ($)"/>
    <tableColumn id="22" name="Distributions ($)"/>
    <tableColumn id="23" name="Distribution Schedule/Notes"/>
    <tableColumn id="24" name="Total Value ($)"/>
    <tableColumn id="25" name="Anticipated Value ($)"/>
    <tableColumn id="26" name="Expected ARR"/>
    <tableColumn id="27" name="Expected MOIC"/>
    <tableColumn id="28" name="Actual MOIC"/>
    <tableColumn id="29" name="Notes"/>
    <tableColumn id="30" name="Contact"/>
    <tableColumn id="31" name="Contact Inf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4" activeCellId="0" sqref="A24"/>
    </sheetView>
  </sheetViews>
  <sheetFormatPr defaultColWidth="8.6328125" defaultRowHeight="14.25" zeroHeight="false" outlineLevelRow="0" outlineLevelCol="0"/>
  <cols>
    <col collapsed="false" customWidth="true" hidden="false" outlineLevel="0" max="1" min="1" style="1" width="110"/>
  </cols>
  <sheetData>
    <row r="1" customFormat="false" ht="30" hidden="false" customHeight="true" outlineLevel="0" collapsed="false">
      <c r="A1" s="2" t="s">
        <v>0</v>
      </c>
    </row>
    <row r="2" customFormat="false" ht="14.25" hidden="false" customHeight="false" outlineLevel="0" collapsed="false">
      <c r="A2" s="3"/>
    </row>
    <row r="3" customFormat="false" ht="21.75" hidden="false" customHeight="true" outlineLevel="0" collapsed="false">
      <c r="A3" s="4" t="s">
        <v>1</v>
      </c>
    </row>
    <row r="4" customFormat="false" ht="45" hidden="false" customHeight="true" outlineLevel="0" collapsed="false">
      <c r="A4" s="5" t="s">
        <v>2</v>
      </c>
    </row>
    <row r="5" customFormat="false" ht="15" hidden="false" customHeight="true" outlineLevel="0" collapsed="false">
      <c r="A5" s="3"/>
    </row>
    <row r="6" customFormat="false" ht="21.75" hidden="false" customHeight="true" outlineLevel="0" collapsed="false">
      <c r="A6" s="4" t="s">
        <v>3</v>
      </c>
    </row>
    <row r="7" customFormat="false" ht="18" hidden="false" customHeight="true" outlineLevel="0" collapsed="false">
      <c r="A7" s="6" t="s">
        <v>4</v>
      </c>
    </row>
    <row r="8" customFormat="false" ht="18" hidden="false" customHeight="true" outlineLevel="0" collapsed="false">
      <c r="A8" s="7" t="s">
        <v>5</v>
      </c>
    </row>
    <row r="9" customFormat="false" ht="18" hidden="false" customHeight="true" outlineLevel="0" collapsed="false">
      <c r="A9" s="8" t="s">
        <v>6</v>
      </c>
    </row>
    <row r="10" customFormat="false" ht="15" hidden="false" customHeight="true" outlineLevel="0" collapsed="false">
      <c r="A10" s="3"/>
    </row>
    <row r="11" customFormat="false" ht="21.75" hidden="false" customHeight="true" outlineLevel="0" collapsed="false">
      <c r="A11" s="4" t="s">
        <v>7</v>
      </c>
    </row>
    <row r="12" customFormat="false" ht="45" hidden="false" customHeight="true" outlineLevel="0" collapsed="false">
      <c r="A12" s="9" t="s">
        <v>8</v>
      </c>
    </row>
    <row r="13" customFormat="false" ht="30" hidden="false" customHeight="true" outlineLevel="0" collapsed="false">
      <c r="A13" s="9" t="s">
        <v>9</v>
      </c>
    </row>
    <row r="14" customFormat="false" ht="30" hidden="false" customHeight="true" outlineLevel="0" collapsed="false">
      <c r="A14" s="10" t="s">
        <v>10</v>
      </c>
    </row>
    <row r="15" customFormat="false" ht="15" hidden="false" customHeight="true" outlineLevel="0" collapsed="false">
      <c r="A15" s="11" t="s">
        <v>11</v>
      </c>
    </row>
    <row r="16" customFormat="false" ht="15" hidden="false" customHeight="true" outlineLevel="0" collapsed="false">
      <c r="A16" s="11" t="s">
        <v>12</v>
      </c>
    </row>
    <row r="17" customFormat="false" ht="30" hidden="false" customHeight="true" outlineLevel="0" collapsed="false">
      <c r="A17" s="11" t="s">
        <v>13</v>
      </c>
    </row>
    <row r="18" customFormat="false" ht="30" hidden="false" customHeight="true" outlineLevel="0" collapsed="false">
      <c r="A18" s="11" t="s">
        <v>14</v>
      </c>
    </row>
    <row r="19" customFormat="false" ht="15" hidden="false" customHeight="true" outlineLevel="0" collapsed="false">
      <c r="A19" s="11" t="s">
        <v>15</v>
      </c>
    </row>
    <row r="20" customFormat="false" ht="15" hidden="false" customHeight="true" outlineLevel="0" collapsed="false">
      <c r="A20" s="11" t="s">
        <v>16</v>
      </c>
    </row>
    <row r="21" customFormat="false" ht="15" hidden="false" customHeight="true" outlineLevel="0" collapsed="false">
      <c r="A21" s="11" t="s">
        <v>17</v>
      </c>
    </row>
    <row r="22" customFormat="false" ht="15" hidden="false" customHeight="true" outlineLevel="0" collapsed="false">
      <c r="A22" s="11" t="s">
        <v>18</v>
      </c>
    </row>
    <row r="23" customFormat="false" ht="15" hidden="false" customHeight="true" outlineLevel="0" collapsed="false">
      <c r="A23" s="11" t="s">
        <v>19</v>
      </c>
    </row>
    <row r="24" customFormat="false" ht="15" hidden="false" customHeight="true" outlineLevel="0" collapsed="false">
      <c r="A24" s="11" t="s">
        <v>20</v>
      </c>
    </row>
    <row r="25" customFormat="false" ht="15" hidden="false" customHeight="true" outlineLevel="0" collapsed="false">
      <c r="A25" s="11" t="s">
        <v>21</v>
      </c>
    </row>
    <row r="26" customFormat="false" ht="15" hidden="false" customHeight="true" outlineLevel="0" collapsed="false">
      <c r="A26" s="11" t="s">
        <v>22</v>
      </c>
    </row>
    <row r="27" customFormat="false" ht="15" hidden="false" customHeight="true" outlineLevel="0" collapsed="false">
      <c r="A27" s="11" t="s">
        <v>23</v>
      </c>
    </row>
    <row r="28" customFormat="false" ht="15" hidden="false" customHeight="true" outlineLevel="0" collapsed="false">
      <c r="A28" s="11" t="s">
        <v>24</v>
      </c>
    </row>
    <row r="29" customFormat="false" ht="30" hidden="false" customHeight="true" outlineLevel="0" collapsed="false">
      <c r="A29" s="12" t="s">
        <v>25</v>
      </c>
    </row>
    <row r="30" customFormat="false" ht="15" hidden="false" customHeight="true" outlineLevel="0" collapsed="false">
      <c r="A30" s="11" t="s">
        <v>26</v>
      </c>
    </row>
    <row r="31" customFormat="false" ht="15" hidden="false" customHeight="true" outlineLevel="0" collapsed="false">
      <c r="A31" s="11" t="s">
        <v>27</v>
      </c>
    </row>
    <row r="32" customFormat="false" ht="15" hidden="false" customHeight="true" outlineLevel="0" collapsed="false">
      <c r="A32" s="11" t="s">
        <v>28</v>
      </c>
    </row>
    <row r="33" customFormat="false" ht="15" hidden="false" customHeight="true" outlineLevel="0" collapsed="false">
      <c r="A33" s="11" t="s">
        <v>29</v>
      </c>
    </row>
    <row r="34" customFormat="false" ht="15" hidden="false" customHeight="true" outlineLevel="0" collapsed="false">
      <c r="A34" s="11" t="s">
        <v>30</v>
      </c>
    </row>
    <row r="35" customFormat="false" ht="15" hidden="false" customHeight="true" outlineLevel="0" collapsed="false">
      <c r="A35" s="11" t="s">
        <v>31</v>
      </c>
    </row>
    <row r="36" customFormat="false" ht="15" hidden="false" customHeight="true" outlineLevel="0" collapsed="false">
      <c r="A36" s="11" t="s">
        <v>32</v>
      </c>
    </row>
    <row r="37" customFormat="false" ht="15" hidden="false" customHeight="true" outlineLevel="0" collapsed="false">
      <c r="A37" s="11" t="s">
        <v>33</v>
      </c>
    </row>
    <row r="38" customFormat="false" ht="15" hidden="false" customHeight="true" outlineLevel="0" collapsed="false">
      <c r="A38" s="11" t="s">
        <v>34</v>
      </c>
    </row>
    <row r="39" customFormat="false" ht="30" hidden="false" customHeight="true" outlineLevel="0" collapsed="false">
      <c r="A39" s="12" t="s">
        <v>35</v>
      </c>
    </row>
    <row r="40" customFormat="false" ht="15" hidden="false" customHeight="true" outlineLevel="0" collapsed="false">
      <c r="A40" s="11" t="s">
        <v>36</v>
      </c>
    </row>
    <row r="41" customFormat="false" ht="15" hidden="false" customHeight="true" outlineLevel="0" collapsed="false">
      <c r="A41" s="11" t="s">
        <v>37</v>
      </c>
    </row>
    <row r="42" customFormat="false" ht="15" hidden="false" customHeight="true" outlineLevel="0" collapsed="false">
      <c r="A42" s="11" t="s">
        <v>38</v>
      </c>
    </row>
    <row r="43" customFormat="false" ht="15" hidden="false" customHeight="true" outlineLevel="0" collapsed="false">
      <c r="A43" s="11" t="s">
        <v>39</v>
      </c>
    </row>
    <row r="44" customFormat="false" ht="30" hidden="false" customHeight="true" outlineLevel="0" collapsed="false">
      <c r="A44" s="11" t="s">
        <v>40</v>
      </c>
    </row>
    <row r="45" customFormat="false" ht="15" hidden="false" customHeight="true" outlineLevel="0" collapsed="false">
      <c r="A45" s="11" t="s">
        <v>41</v>
      </c>
    </row>
    <row r="46" customFormat="false" ht="15" hidden="false" customHeight="true" outlineLevel="0" collapsed="false">
      <c r="A46" s="11" t="s">
        <v>42</v>
      </c>
    </row>
    <row r="47" customFormat="false" ht="15" hidden="false" customHeight="true" outlineLevel="0" collapsed="false">
      <c r="A47" s="12" t="s">
        <v>43</v>
      </c>
    </row>
    <row r="49" customFormat="false" ht="21.75" hidden="false" customHeight="true" outlineLevel="0" collapsed="false">
      <c r="A49" s="13" t="s">
        <v>44</v>
      </c>
    </row>
    <row r="50" customFormat="false" ht="30" hidden="false" customHeight="true" outlineLevel="0" collapsed="false">
      <c r="A50" s="14" t="s">
        <v>45</v>
      </c>
    </row>
    <row r="51" customFormat="false" ht="45" hidden="false" customHeight="true" outlineLevel="0" collapsed="false">
      <c r="A51" s="14" t="s">
        <v>46</v>
      </c>
    </row>
    <row r="52" customFormat="false" ht="45" hidden="false" customHeight="true" outlineLevel="0" collapsed="false">
      <c r="A52" s="14" t="s">
        <v>47</v>
      </c>
    </row>
    <row r="53" customFormat="false" ht="30" hidden="false" customHeight="true" outlineLevel="0" collapsed="false">
      <c r="A53" s="14" t="s">
        <v>48</v>
      </c>
    </row>
    <row r="55" customFormat="false" ht="21.75" hidden="false" customHeight="true" outlineLevel="0" collapsed="false">
      <c r="A55" s="13" t="s">
        <v>49</v>
      </c>
    </row>
    <row r="56" customFormat="false" ht="15" hidden="false" customHeight="true" outlineLevel="0" collapsed="false">
      <c r="A56" s="14"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06"/>
  <sheetViews>
    <sheetView showFormulas="false" showGridLines="false" showRowColHeaders="true" showZeros="true" rightToLeft="false" tabSelected="false" showOutlineSymbols="true" defaultGridColor="true" view="normal" topLeftCell="F4" colorId="64" zoomScale="85" zoomScaleNormal="85" zoomScalePageLayoutView="100" workbookViewId="0">
      <selection pane="topLeft" activeCell="Q18" activeCellId="0" sqref="Q18"/>
    </sheetView>
  </sheetViews>
  <sheetFormatPr defaultColWidth="8.6328125" defaultRowHeight="14.25" zeroHeight="false" outlineLevelRow="0" outlineLevelCol="0"/>
  <cols>
    <col collapsed="false" customWidth="true" hidden="false" outlineLevel="0" max="1" min="1" style="1" width="10"/>
    <col collapsed="false" customWidth="true" hidden="false" outlineLevel="0" max="2" min="2" style="1" width="25.82"/>
    <col collapsed="false" customWidth="true" hidden="false" outlineLevel="0" max="3" min="3" style="1" width="29.27"/>
    <col collapsed="false" customWidth="true" hidden="false" outlineLevel="0" max="5" min="4" style="1" width="14.54"/>
    <col collapsed="false" customWidth="true" hidden="false" outlineLevel="0" max="6" min="6" style="1" width="29.27"/>
    <col collapsed="false" customWidth="true" hidden="false" outlineLevel="0" max="7" min="7" style="1" width="14.82"/>
    <col collapsed="false" customWidth="true" hidden="false" outlineLevel="0" max="8" min="8" style="1" width="21.45"/>
    <col collapsed="false" customWidth="true" hidden="false" outlineLevel="0" max="9" min="9" style="1" width="12"/>
    <col collapsed="false" customWidth="true" hidden="false" outlineLevel="0" max="10" min="10" style="1" width="14"/>
    <col collapsed="false" customWidth="true" hidden="false" outlineLevel="0" max="11" min="11" style="1" width="18"/>
    <col collapsed="false" customWidth="true" hidden="false" outlineLevel="0" max="12" min="12" style="1" width="16"/>
    <col collapsed="false" customWidth="true" hidden="false" outlineLevel="0" max="13" min="13" style="1" width="15.09"/>
    <col collapsed="false" customWidth="true" hidden="false" outlineLevel="0" max="14" min="14" style="1" width="12"/>
    <col collapsed="false" customWidth="true" hidden="false" outlineLevel="0" max="15" min="15" style="1" width="16"/>
    <col collapsed="false" customWidth="true" hidden="false" outlineLevel="0" max="16" min="16" style="1" width="19.91"/>
    <col collapsed="false" customWidth="true" hidden="false" outlineLevel="0" max="17" min="17" style="1" width="14"/>
    <col collapsed="false" customWidth="true" hidden="false" outlineLevel="0" max="18" min="18" style="1" width="25.27"/>
    <col collapsed="false" customWidth="true" hidden="false" outlineLevel="0" max="19" min="19" style="1" width="15.45"/>
    <col collapsed="false" customWidth="true" hidden="false" outlineLevel="0" max="20" min="20" style="1" width="17.82"/>
    <col collapsed="false" customWidth="true" hidden="false" outlineLevel="0" max="22" min="21" style="1" width="16"/>
    <col collapsed="false" customWidth="true" hidden="false" outlineLevel="0" max="23" min="23" style="1" width="33.36"/>
    <col collapsed="false" customWidth="true" hidden="false" outlineLevel="0" max="24" min="24" style="1" width="16"/>
    <col collapsed="false" customWidth="true" hidden="false" outlineLevel="0" max="25" min="25" style="1" width="23.09"/>
    <col collapsed="false" customWidth="true" hidden="false" outlineLevel="0" max="27" min="26" style="1" width="16.82"/>
    <col collapsed="false" customWidth="true" hidden="false" outlineLevel="0" max="28" min="28" style="1" width="28"/>
    <col collapsed="false" customWidth="true" hidden="false" outlineLevel="0" max="29" min="29" style="1" width="25.09"/>
    <col collapsed="false" customWidth="true" hidden="false" outlineLevel="0" max="30" min="30" style="1" width="23.36"/>
    <col collapsed="false" customWidth="true" hidden="false" outlineLevel="0" max="31" min="31" style="1" width="12.09"/>
  </cols>
  <sheetData>
    <row r="1" customFormat="false" ht="21" hidden="false" customHeight="true" outlineLevel="0" collapsed="false">
      <c r="A1" s="15" t="s">
        <v>51</v>
      </c>
    </row>
    <row r="2" customFormat="false" ht="15" hidden="false" customHeight="true" outlineLevel="0" collapsed="false">
      <c r="A2" s="16" t="s">
        <v>52</v>
      </c>
      <c r="B2" s="17" t="s">
        <v>53</v>
      </c>
      <c r="C2" s="17"/>
      <c r="D2" s="17"/>
      <c r="E2" s="18" t="s">
        <v>54</v>
      </c>
      <c r="F2" s="18"/>
      <c r="G2" s="18"/>
      <c r="H2" s="18"/>
      <c r="I2" s="19" t="s">
        <v>55</v>
      </c>
      <c r="J2" s="19"/>
      <c r="K2" s="19"/>
      <c r="L2" s="19"/>
    </row>
    <row r="3" customFormat="false" ht="30" hidden="false" customHeight="true" outlineLevel="0" collapsed="false">
      <c r="A3" s="20" t="s">
        <v>56</v>
      </c>
      <c r="B3" s="20"/>
      <c r="C3" s="20"/>
      <c r="D3" s="20"/>
      <c r="E3" s="20"/>
      <c r="F3" s="20"/>
      <c r="G3" s="20"/>
      <c r="H3" s="20"/>
      <c r="I3" s="20"/>
      <c r="J3" s="20"/>
      <c r="K3" s="20"/>
      <c r="L3" s="20"/>
    </row>
    <row r="6" customFormat="false" ht="30" hidden="false" customHeight="true" outlineLevel="0" collapsed="false">
      <c r="A6" s="21" t="s">
        <v>57</v>
      </c>
      <c r="B6" s="21" t="s">
        <v>58</v>
      </c>
      <c r="C6" s="21" t="s">
        <v>59</v>
      </c>
      <c r="D6" s="21" t="s">
        <v>60</v>
      </c>
      <c r="E6" s="21" t="s">
        <v>61</v>
      </c>
      <c r="F6" s="21" t="s">
        <v>62</v>
      </c>
      <c r="G6" s="21" t="s">
        <v>63</v>
      </c>
      <c r="H6" s="21" t="s">
        <v>64</v>
      </c>
      <c r="I6" s="21" t="s">
        <v>65</v>
      </c>
      <c r="J6" s="21" t="s">
        <v>66</v>
      </c>
      <c r="K6" s="21" t="s">
        <v>67</v>
      </c>
      <c r="L6" s="21" t="s">
        <v>68</v>
      </c>
      <c r="M6" s="21" t="s">
        <v>69</v>
      </c>
      <c r="N6" s="21" t="s">
        <v>70</v>
      </c>
      <c r="O6" s="21" t="s">
        <v>71</v>
      </c>
      <c r="P6" s="21" t="s">
        <v>72</v>
      </c>
      <c r="Q6" s="21" t="s">
        <v>73</v>
      </c>
      <c r="R6" s="21" t="s">
        <v>74</v>
      </c>
      <c r="S6" s="21" t="s">
        <v>75</v>
      </c>
      <c r="T6" s="21" t="s">
        <v>76</v>
      </c>
      <c r="U6" s="21" t="s">
        <v>77</v>
      </c>
      <c r="V6" s="21" t="s">
        <v>78</v>
      </c>
      <c r="W6" s="21" t="s">
        <v>79</v>
      </c>
      <c r="X6" s="21" t="s">
        <v>80</v>
      </c>
      <c r="Y6" s="21" t="s">
        <v>81</v>
      </c>
      <c r="Z6" s="21" t="s">
        <v>82</v>
      </c>
      <c r="AA6" s="21" t="s">
        <v>83</v>
      </c>
      <c r="AB6" s="21" t="s">
        <v>84</v>
      </c>
      <c r="AC6" s="21" t="s">
        <v>85</v>
      </c>
      <c r="AD6" s="21" t="s">
        <v>86</v>
      </c>
      <c r="AE6" s="21" t="s">
        <v>87</v>
      </c>
    </row>
    <row r="7" customFormat="false" ht="48" hidden="false" customHeight="true" outlineLevel="0" collapsed="false">
      <c r="A7" s="22" t="s">
        <v>88</v>
      </c>
      <c r="B7" s="22" t="s">
        <v>89</v>
      </c>
      <c r="C7" s="22" t="s">
        <v>90</v>
      </c>
      <c r="D7" s="22" t="s">
        <v>91</v>
      </c>
      <c r="E7" s="22" t="s">
        <v>92</v>
      </c>
      <c r="F7" s="22" t="s">
        <v>93</v>
      </c>
      <c r="G7" s="22" t="s">
        <v>94</v>
      </c>
      <c r="H7" s="22" t="s">
        <v>95</v>
      </c>
      <c r="I7" s="22" t="s">
        <v>96</v>
      </c>
      <c r="J7" s="22" t="s">
        <v>97</v>
      </c>
      <c r="K7" s="22" t="s">
        <v>98</v>
      </c>
      <c r="L7" s="22" t="s">
        <v>99</v>
      </c>
      <c r="M7" s="23" t="n">
        <v>45867</v>
      </c>
      <c r="N7" s="23" t="n">
        <v>45873</v>
      </c>
      <c r="O7" s="24" t="n">
        <v>50000</v>
      </c>
      <c r="P7" s="24" t="n">
        <v>50000</v>
      </c>
      <c r="Q7" s="25" t="n">
        <f aca="false">IF(OR(O7="",P7=""),"",O7-P7)</f>
        <v>0</v>
      </c>
      <c r="R7" s="24" t="s">
        <v>92</v>
      </c>
      <c r="S7" s="26" t="n">
        <v>5</v>
      </c>
      <c r="T7" s="26" t="n">
        <v>7</v>
      </c>
      <c r="U7" s="24" t="n">
        <v>50000</v>
      </c>
      <c r="V7" s="24" t="n">
        <v>0</v>
      </c>
      <c r="W7" s="24" t="s">
        <v>100</v>
      </c>
      <c r="X7" s="25" t="n">
        <f aca="false">IF(OR(U7="",V7=""),"",U7+V7)</f>
        <v>50000</v>
      </c>
      <c r="Y7" s="27" t="n">
        <f aca="false">tblInvestments[[#This Row],[Commitment ($)]]*tblInvestments[[#This Row],[Expected MOIC]]</f>
        <v>90000</v>
      </c>
      <c r="Z7" s="28" t="n">
        <v>0.16</v>
      </c>
      <c r="AA7" s="29" t="n">
        <v>1.8</v>
      </c>
      <c r="AB7" s="30" t="n">
        <f aca="false">IFERROR(X7/P7,"")</f>
        <v>1</v>
      </c>
      <c r="AC7" s="31"/>
      <c r="AD7" s="32" t="s">
        <v>101</v>
      </c>
      <c r="AE7" s="32" t="s">
        <v>102</v>
      </c>
    </row>
    <row r="8" customFormat="false" ht="43.5" hidden="false" customHeight="true" outlineLevel="0" collapsed="false">
      <c r="A8" s="22" t="s">
        <v>103</v>
      </c>
      <c r="B8" s="22" t="s">
        <v>104</v>
      </c>
      <c r="C8" s="22" t="s">
        <v>105</v>
      </c>
      <c r="D8" s="22" t="s">
        <v>106</v>
      </c>
      <c r="E8" s="22" t="s">
        <v>92</v>
      </c>
      <c r="F8" s="22" t="s">
        <v>107</v>
      </c>
      <c r="G8" s="22" t="s">
        <v>94</v>
      </c>
      <c r="H8" s="22" t="s">
        <v>108</v>
      </c>
      <c r="I8" s="22" t="s">
        <v>96</v>
      </c>
      <c r="J8" s="22" t="s">
        <v>97</v>
      </c>
      <c r="K8" s="22" t="s">
        <v>98</v>
      </c>
      <c r="L8" s="22" t="s">
        <v>99</v>
      </c>
      <c r="M8" s="23" t="n">
        <v>45890</v>
      </c>
      <c r="N8" s="23" t="n">
        <v>45903</v>
      </c>
      <c r="O8" s="24" t="n">
        <v>50000</v>
      </c>
      <c r="P8" s="24" t="n">
        <v>50000</v>
      </c>
      <c r="Q8" s="25" t="n">
        <f aca="false">IF(OR(O8="",P8=""),"",O8-P8)</f>
        <v>0</v>
      </c>
      <c r="R8" s="24" t="s">
        <v>92</v>
      </c>
      <c r="S8" s="26" t="n">
        <v>5</v>
      </c>
      <c r="T8" s="26" t="n">
        <v>7</v>
      </c>
      <c r="U8" s="24" t="n">
        <v>50000</v>
      </c>
      <c r="V8" s="24" t="n">
        <v>0</v>
      </c>
      <c r="W8" s="24" t="s">
        <v>109</v>
      </c>
      <c r="X8" s="25" t="n">
        <f aca="false">IF(OR(U8="",V8=""),"",U8+V8)</f>
        <v>50000</v>
      </c>
      <c r="Y8" s="27" t="n">
        <f aca="false">tblInvestments[[#This Row],[Commitment ($)]]*tblInvestments[[#This Row],[Expected MOIC]]</f>
        <v>132500</v>
      </c>
      <c r="Z8" s="28" t="n">
        <v>0.2</v>
      </c>
      <c r="AA8" s="29" t="n">
        <v>2.65</v>
      </c>
      <c r="AB8" s="30" t="n">
        <f aca="false">IFERROR(X8/P8,"")</f>
        <v>1</v>
      </c>
      <c r="AC8" s="31"/>
      <c r="AD8" s="32" t="s">
        <v>110</v>
      </c>
      <c r="AE8" s="32" t="s">
        <v>111</v>
      </c>
    </row>
    <row r="9" customFormat="false" ht="45" hidden="false" customHeight="true" outlineLevel="0" collapsed="false">
      <c r="A9" s="22" t="s">
        <v>112</v>
      </c>
      <c r="B9" s="22" t="s">
        <v>113</v>
      </c>
      <c r="C9" s="22" t="s">
        <v>114</v>
      </c>
      <c r="D9" s="22" t="s">
        <v>115</v>
      </c>
      <c r="E9" s="22" t="s">
        <v>116</v>
      </c>
      <c r="F9" s="22" t="s">
        <v>117</v>
      </c>
      <c r="G9" s="22" t="s">
        <v>94</v>
      </c>
      <c r="H9" s="22" t="s">
        <v>118</v>
      </c>
      <c r="I9" s="22" t="s">
        <v>119</v>
      </c>
      <c r="J9" s="22" t="s">
        <v>97</v>
      </c>
      <c r="K9" s="22" t="s">
        <v>98</v>
      </c>
      <c r="L9" s="22" t="s">
        <v>120</v>
      </c>
      <c r="M9" s="23" t="n">
        <v>45901</v>
      </c>
      <c r="N9" s="23" t="n">
        <v>45915</v>
      </c>
      <c r="O9" s="24" t="n">
        <v>10000</v>
      </c>
      <c r="P9" s="24" t="n">
        <v>10000</v>
      </c>
      <c r="Q9" s="25" t="n">
        <f aca="false">IF(OR(O9="",P9=""),"",O9-P9)</f>
        <v>0</v>
      </c>
      <c r="R9" s="24" t="s">
        <v>92</v>
      </c>
      <c r="S9" s="26" t="n">
        <v>10</v>
      </c>
      <c r="T9" s="26" t="n">
        <v>10</v>
      </c>
      <c r="U9" s="24" t="n">
        <v>10000</v>
      </c>
      <c r="V9" s="24" t="n">
        <v>0</v>
      </c>
      <c r="W9" s="24" t="s">
        <v>92</v>
      </c>
      <c r="X9" s="25" t="n">
        <f aca="false">IF(OR(U9="",V9=""),"",U9+V9)</f>
        <v>10000</v>
      </c>
      <c r="Y9" s="27" t="n">
        <f aca="false">tblInvestments[[#This Row],[Commitment ($)]]*tblInvestments[[#This Row],[Expected MOIC]]</f>
        <v>40000</v>
      </c>
      <c r="Z9" s="28"/>
      <c r="AA9" s="29" t="n">
        <v>4</v>
      </c>
      <c r="AB9" s="30" t="n">
        <f aca="false">IFERROR(X9/P9,"")</f>
        <v>1</v>
      </c>
      <c r="AC9" s="31"/>
      <c r="AD9" s="32" t="s">
        <v>121</v>
      </c>
      <c r="AE9" s="32" t="s">
        <v>122</v>
      </c>
    </row>
    <row r="10" customFormat="false" ht="45" hidden="false" customHeight="true" outlineLevel="0" collapsed="false">
      <c r="A10" s="22" t="s">
        <v>123</v>
      </c>
      <c r="B10" s="22" t="s">
        <v>124</v>
      </c>
      <c r="C10" s="22" t="s">
        <v>125</v>
      </c>
      <c r="D10" s="22" t="s">
        <v>115</v>
      </c>
      <c r="E10" s="22" t="s">
        <v>126</v>
      </c>
      <c r="F10" s="22" t="s">
        <v>127</v>
      </c>
      <c r="G10" s="22" t="s">
        <v>94</v>
      </c>
      <c r="H10" s="22" t="s">
        <v>128</v>
      </c>
      <c r="I10" s="22" t="s">
        <v>119</v>
      </c>
      <c r="J10" s="22" t="s">
        <v>97</v>
      </c>
      <c r="K10" s="22" t="s">
        <v>98</v>
      </c>
      <c r="L10" s="22" t="s">
        <v>120</v>
      </c>
      <c r="M10" s="23" t="n">
        <v>45931</v>
      </c>
      <c r="N10" s="23" t="n">
        <v>45945</v>
      </c>
      <c r="O10" s="24" t="n">
        <v>5000</v>
      </c>
      <c r="P10" s="24" t="n">
        <v>5000</v>
      </c>
      <c r="Q10" s="25" t="n">
        <f aca="false">IF(OR(O10="",P10=""),"",O10-P10)</f>
        <v>0</v>
      </c>
      <c r="R10" s="24" t="s">
        <v>92</v>
      </c>
      <c r="S10" s="26" t="n">
        <v>10</v>
      </c>
      <c r="T10" s="26" t="n">
        <v>10</v>
      </c>
      <c r="U10" s="24" t="n">
        <v>5000</v>
      </c>
      <c r="V10" s="24" t="n">
        <v>0</v>
      </c>
      <c r="W10" s="24" t="s">
        <v>92</v>
      </c>
      <c r="X10" s="25" t="n">
        <f aca="false">IF(OR(U10="",V10=""),"",U10+V10)</f>
        <v>5000</v>
      </c>
      <c r="Y10" s="27" t="n">
        <f aca="false">tblInvestments[[#This Row],[Commitment ($)]]*tblInvestments[[#This Row],[Expected MOIC]]</f>
        <v>8900</v>
      </c>
      <c r="Z10" s="28"/>
      <c r="AA10" s="29" t="n">
        <v>1.78</v>
      </c>
      <c r="AB10" s="30" t="n">
        <f aca="false">IFERROR(X10/P10,"")</f>
        <v>1</v>
      </c>
      <c r="AC10" s="31"/>
      <c r="AD10" s="32" t="s">
        <v>121</v>
      </c>
      <c r="AE10" s="32" t="s">
        <v>122</v>
      </c>
    </row>
    <row r="11" customFormat="false" ht="45" hidden="false" customHeight="true" outlineLevel="0" collapsed="false">
      <c r="A11" s="22" t="s">
        <v>129</v>
      </c>
      <c r="B11" s="22" t="s">
        <v>130</v>
      </c>
      <c r="C11" s="22" t="s">
        <v>131</v>
      </c>
      <c r="D11" s="22" t="s">
        <v>115</v>
      </c>
      <c r="E11" s="22" t="s">
        <v>116</v>
      </c>
      <c r="F11" s="22" t="s">
        <v>132</v>
      </c>
      <c r="G11" s="22" t="s">
        <v>94</v>
      </c>
      <c r="H11" s="22" t="s">
        <v>133</v>
      </c>
      <c r="I11" s="22" t="s">
        <v>119</v>
      </c>
      <c r="J11" s="22" t="s">
        <v>97</v>
      </c>
      <c r="K11" s="22" t="s">
        <v>98</v>
      </c>
      <c r="L11" s="22" t="s">
        <v>120</v>
      </c>
      <c r="M11" s="23" t="n">
        <v>45962</v>
      </c>
      <c r="N11" s="23" t="n">
        <v>45971</v>
      </c>
      <c r="O11" s="24" t="n">
        <v>10000</v>
      </c>
      <c r="P11" s="24" t="n">
        <v>10000</v>
      </c>
      <c r="Q11" s="25" t="n">
        <f aca="false">IF(OR(O11="",P11=""),"",O11-P11)</f>
        <v>0</v>
      </c>
      <c r="R11" s="24" t="s">
        <v>92</v>
      </c>
      <c r="S11" s="26" t="n">
        <v>10</v>
      </c>
      <c r="T11" s="26" t="n">
        <v>10</v>
      </c>
      <c r="U11" s="24" t="n">
        <v>10000</v>
      </c>
      <c r="V11" s="24" t="n">
        <v>0</v>
      </c>
      <c r="W11" s="24" t="s">
        <v>92</v>
      </c>
      <c r="X11" s="25" t="n">
        <f aca="false">IF(OR(U11="",V11=""),"",U11+V11)</f>
        <v>10000</v>
      </c>
      <c r="Y11" s="27" t="n">
        <f aca="false">tblInvestments[[#This Row],[Commitment ($)]]*tblInvestments[[#This Row],[Expected MOIC]]</f>
        <v>100000</v>
      </c>
      <c r="Z11" s="28"/>
      <c r="AA11" s="29" t="n">
        <v>10</v>
      </c>
      <c r="AB11" s="30" t="n">
        <f aca="false">IFERROR(X11/P11,"")</f>
        <v>1</v>
      </c>
      <c r="AC11" s="31"/>
      <c r="AD11" s="32" t="s">
        <v>121</v>
      </c>
      <c r="AE11" s="32" t="s">
        <v>122</v>
      </c>
    </row>
    <row r="12" customFormat="false" ht="45" hidden="false" customHeight="true" outlineLevel="0" collapsed="false">
      <c r="A12" s="22" t="s">
        <v>134</v>
      </c>
      <c r="B12" s="22" t="s">
        <v>135</v>
      </c>
      <c r="C12" s="22" t="s">
        <v>136</v>
      </c>
      <c r="D12" s="22" t="s">
        <v>115</v>
      </c>
      <c r="E12" s="22" t="s">
        <v>96</v>
      </c>
      <c r="F12" s="22" t="s">
        <v>127</v>
      </c>
      <c r="G12" s="22" t="s">
        <v>137</v>
      </c>
      <c r="H12" s="22" t="s">
        <v>138</v>
      </c>
      <c r="I12" s="22" t="s">
        <v>96</v>
      </c>
      <c r="J12" s="22" t="s">
        <v>97</v>
      </c>
      <c r="K12" s="22" t="s">
        <v>98</v>
      </c>
      <c r="L12" s="22" t="s">
        <v>120</v>
      </c>
      <c r="M12" s="23" t="n">
        <v>45901</v>
      </c>
      <c r="N12" s="23" t="n">
        <v>45915</v>
      </c>
      <c r="O12" s="24" t="n">
        <v>250000</v>
      </c>
      <c r="P12" s="24" t="n">
        <v>50000</v>
      </c>
      <c r="Q12" s="25" t="n">
        <f aca="false">IF(OR(O12="",P12=""),"",O12-P12)</f>
        <v>200000</v>
      </c>
      <c r="R12" s="26" t="s">
        <v>139</v>
      </c>
      <c r="S12" s="26" t="n">
        <v>10</v>
      </c>
      <c r="T12" s="26" t="n">
        <v>10</v>
      </c>
      <c r="U12" s="24" t="n">
        <f aca="false">tblInvestments[[#This Row],[Amount Funded ($)]]</f>
        <v>50000</v>
      </c>
      <c r="V12" s="24" t="n">
        <v>0</v>
      </c>
      <c r="W12" s="24" t="s">
        <v>92</v>
      </c>
      <c r="X12" s="25" t="n">
        <f aca="false">IF(OR(U12="",V12=""),"",U12+V12)</f>
        <v>50000</v>
      </c>
      <c r="Y12" s="27" t="n">
        <f aca="false">tblInvestments[[#This Row],[Commitment ($)]]*tblInvestments[[#This Row],[Expected MOIC]]</f>
        <v>985000</v>
      </c>
      <c r="Z12" s="28"/>
      <c r="AA12" s="29" t="n">
        <v>3.94</v>
      </c>
      <c r="AB12" s="30" t="n">
        <f aca="false">IFERROR(X12/P12,"")</f>
        <v>1</v>
      </c>
      <c r="AC12" s="31"/>
      <c r="AD12" s="32" t="s">
        <v>121</v>
      </c>
      <c r="AE12" s="32" t="s">
        <v>122</v>
      </c>
    </row>
    <row r="13" customFormat="false" ht="43.5" hidden="false" customHeight="true" outlineLevel="0" collapsed="false">
      <c r="A13" s="22" t="s">
        <v>140</v>
      </c>
      <c r="B13" s="22" t="s">
        <v>141</v>
      </c>
      <c r="C13" s="22" t="s">
        <v>142</v>
      </c>
      <c r="D13" s="22" t="s">
        <v>115</v>
      </c>
      <c r="E13" s="22" t="s">
        <v>116</v>
      </c>
      <c r="F13" s="22" t="s">
        <v>127</v>
      </c>
      <c r="G13" s="22" t="s">
        <v>94</v>
      </c>
      <c r="H13" s="22" t="s">
        <v>143</v>
      </c>
      <c r="I13" s="22" t="s">
        <v>119</v>
      </c>
      <c r="J13" s="22" t="s">
        <v>97</v>
      </c>
      <c r="K13" s="22" t="s">
        <v>98</v>
      </c>
      <c r="L13" s="22" t="s">
        <v>120</v>
      </c>
      <c r="M13" s="23" t="n">
        <v>46287</v>
      </c>
      <c r="N13" s="23" t="n">
        <v>46287</v>
      </c>
      <c r="O13" s="24" t="n">
        <v>20000</v>
      </c>
      <c r="P13" s="24" t="n">
        <v>20000</v>
      </c>
      <c r="Q13" s="25" t="n">
        <f aca="false">IF(OR(O13="",P13=""),"",O13-P13)</f>
        <v>0</v>
      </c>
      <c r="R13" s="24" t="s">
        <v>92</v>
      </c>
      <c r="S13" s="26" t="n">
        <v>5</v>
      </c>
      <c r="T13" s="26" t="n">
        <v>5</v>
      </c>
      <c r="U13" s="24" t="n">
        <v>20000</v>
      </c>
      <c r="V13" s="24" t="n">
        <v>0</v>
      </c>
      <c r="W13" s="24" t="s">
        <v>92</v>
      </c>
      <c r="X13" s="25" t="n">
        <f aca="false">IF(OR(U13="",V13=""),"",U13+V13)</f>
        <v>20000</v>
      </c>
      <c r="Y13" s="27" t="n">
        <f aca="false">tblInvestments[[#This Row],[Commitment ($)]]*tblInvestments[[#This Row],[Expected MOIC]]</f>
        <v>100000</v>
      </c>
      <c r="Z13" s="28" t="n">
        <v>0.8</v>
      </c>
      <c r="AA13" s="29" t="n">
        <v>5</v>
      </c>
      <c r="AB13" s="30" t="n">
        <f aca="false">IFERROR(X13/P13,"")</f>
        <v>1</v>
      </c>
      <c r="AC13" s="31" t="s">
        <v>143</v>
      </c>
      <c r="AD13" s="33" t="s">
        <v>144</v>
      </c>
      <c r="AE13" s="33" t="s">
        <v>145</v>
      </c>
    </row>
    <row r="14" customFormat="false" ht="42" hidden="false" customHeight="true" outlineLevel="0" collapsed="false">
      <c r="A14" s="22" t="s">
        <v>146</v>
      </c>
      <c r="B14" s="22" t="s">
        <v>147</v>
      </c>
      <c r="C14" s="22" t="s">
        <v>90</v>
      </c>
      <c r="D14" s="22" t="s">
        <v>91</v>
      </c>
      <c r="E14" s="22" t="s">
        <v>92</v>
      </c>
      <c r="F14" s="22" t="s">
        <v>93</v>
      </c>
      <c r="G14" s="22" t="s">
        <v>137</v>
      </c>
      <c r="H14" s="22" t="s">
        <v>95</v>
      </c>
      <c r="I14" s="22" t="s">
        <v>96</v>
      </c>
      <c r="J14" s="22" t="s">
        <v>97</v>
      </c>
      <c r="K14" s="22" t="s">
        <v>98</v>
      </c>
      <c r="L14" s="22" t="s">
        <v>99</v>
      </c>
      <c r="M14" s="23" t="n">
        <v>46052</v>
      </c>
      <c r="N14" s="23" t="n">
        <v>46070</v>
      </c>
      <c r="O14" s="24" t="n">
        <v>50000</v>
      </c>
      <c r="P14" s="24" t="n">
        <v>50000</v>
      </c>
      <c r="Q14" s="25" t="n">
        <f aca="false">IF(OR(O14="",P14=""),"",O14-P14)</f>
        <v>0</v>
      </c>
      <c r="R14" s="24" t="s">
        <v>92</v>
      </c>
      <c r="S14" s="26" t="n">
        <v>5</v>
      </c>
      <c r="T14" s="26" t="n">
        <v>7</v>
      </c>
      <c r="U14" s="24" t="n">
        <v>50000</v>
      </c>
      <c r="V14" s="24" t="n">
        <v>0</v>
      </c>
      <c r="W14" s="24" t="s">
        <v>148</v>
      </c>
      <c r="X14" s="25" t="n">
        <f aca="false">IF(OR(U14="",V14=""),"",U14+V14)</f>
        <v>50000</v>
      </c>
      <c r="Y14" s="27" t="n">
        <f aca="false">tblInvestments[[#This Row],[Commitment ($)]]*tblInvestments[[#This Row],[Expected MOIC]]</f>
        <v>87500</v>
      </c>
      <c r="Z14" s="28" t="n">
        <v>0.15</v>
      </c>
      <c r="AA14" s="29" t="n">
        <v>1.75</v>
      </c>
      <c r="AB14" s="30" t="n">
        <f aca="false">IFERROR(X14/P14,"")</f>
        <v>1</v>
      </c>
      <c r="AC14" s="31"/>
      <c r="AD14" s="32" t="s">
        <v>101</v>
      </c>
      <c r="AE14" s="32" t="s">
        <v>102</v>
      </c>
    </row>
    <row r="15" customFormat="false" ht="45.75" hidden="false" customHeight="true" outlineLevel="0" collapsed="false">
      <c r="A15" s="22" t="s">
        <v>149</v>
      </c>
      <c r="B15" s="22" t="s">
        <v>150</v>
      </c>
      <c r="C15" s="22" t="s">
        <v>105</v>
      </c>
      <c r="D15" s="22" t="s">
        <v>106</v>
      </c>
      <c r="E15" s="22" t="s">
        <v>92</v>
      </c>
      <c r="F15" s="22" t="s">
        <v>107</v>
      </c>
      <c r="G15" s="22" t="s">
        <v>94</v>
      </c>
      <c r="H15" s="22" t="s">
        <v>108</v>
      </c>
      <c r="I15" s="22" t="s">
        <v>96</v>
      </c>
      <c r="J15" s="22" t="s">
        <v>97</v>
      </c>
      <c r="K15" s="22" t="s">
        <v>98</v>
      </c>
      <c r="L15" s="22" t="s">
        <v>99</v>
      </c>
      <c r="M15" s="23" t="n">
        <v>46064</v>
      </c>
      <c r="N15" s="23" t="n">
        <v>46071</v>
      </c>
      <c r="O15" s="24" t="n">
        <v>50000</v>
      </c>
      <c r="P15" s="24" t="n">
        <v>50000</v>
      </c>
      <c r="Q15" s="25" t="n">
        <f aca="false">IF(OR(O15="",P15=""),"",O15-P15)</f>
        <v>0</v>
      </c>
      <c r="R15" s="24" t="s">
        <v>92</v>
      </c>
      <c r="S15" s="26" t="n">
        <v>5</v>
      </c>
      <c r="T15" s="26" t="n">
        <v>7</v>
      </c>
      <c r="U15" s="24" t="n">
        <v>50000</v>
      </c>
      <c r="V15" s="24" t="n">
        <v>0</v>
      </c>
      <c r="W15" s="24" t="s">
        <v>151</v>
      </c>
      <c r="X15" s="25" t="n">
        <f aca="false">IF(OR(U15="",V15=""),"",U15+V15)</f>
        <v>50000</v>
      </c>
      <c r="Y15" s="27" t="n">
        <f aca="false">tblInvestments[[#This Row],[Commitment ($)]]*tblInvestments[[#This Row],[Expected MOIC]]</f>
        <v>132500</v>
      </c>
      <c r="Z15" s="28" t="n">
        <v>0.2</v>
      </c>
      <c r="AA15" s="29" t="n">
        <v>2.65</v>
      </c>
      <c r="AB15" s="30" t="n">
        <f aca="false">IFERROR(X15/P15,"")</f>
        <v>1</v>
      </c>
      <c r="AC15" s="31"/>
      <c r="AD15" s="32" t="s">
        <v>110</v>
      </c>
      <c r="AE15" s="32" t="s">
        <v>111</v>
      </c>
    </row>
    <row r="16" customFormat="false" ht="46.5" hidden="false" customHeight="true" outlineLevel="0" collapsed="false">
      <c r="A16" s="22" t="s">
        <v>152</v>
      </c>
      <c r="B16" s="22" t="s">
        <v>153</v>
      </c>
      <c r="C16" s="22" t="s">
        <v>154</v>
      </c>
      <c r="D16" s="22" t="s">
        <v>115</v>
      </c>
      <c r="E16" s="22"/>
      <c r="F16" s="22" t="s">
        <v>117</v>
      </c>
      <c r="G16" s="22" t="s">
        <v>94</v>
      </c>
      <c r="H16" s="22" t="s">
        <v>155</v>
      </c>
      <c r="I16" s="22" t="s">
        <v>119</v>
      </c>
      <c r="J16" s="22" t="s">
        <v>97</v>
      </c>
      <c r="K16" s="22" t="s">
        <v>98</v>
      </c>
      <c r="L16" s="22" t="s">
        <v>120</v>
      </c>
      <c r="M16" s="23" t="n">
        <v>46098</v>
      </c>
      <c r="N16" s="23" t="n">
        <v>46116</v>
      </c>
      <c r="O16" s="24" t="n">
        <v>25000</v>
      </c>
      <c r="P16" s="24" t="n">
        <v>25000</v>
      </c>
      <c r="Q16" s="25" t="n">
        <f aca="false">IF(OR(O16="",P16=""),"",O16-P16)</f>
        <v>0</v>
      </c>
      <c r="R16" s="24" t="s">
        <v>92</v>
      </c>
      <c r="S16" s="26" t="n">
        <v>5</v>
      </c>
      <c r="T16" s="26" t="n">
        <v>10</v>
      </c>
      <c r="U16" s="24" t="n">
        <v>25000</v>
      </c>
      <c r="V16" s="24" t="n">
        <v>0</v>
      </c>
      <c r="W16" s="24" t="s">
        <v>92</v>
      </c>
      <c r="X16" s="25" t="n">
        <f aca="false">IF(OR(U16="",V16=""),"",U16+V16)</f>
        <v>25000</v>
      </c>
      <c r="Y16" s="27" t="n">
        <f aca="false">tblInvestments[[#This Row],[Commitment ($)]]*tblInvestments[[#This Row],[Expected MOIC]]</f>
        <v>250000</v>
      </c>
      <c r="Z16" s="28"/>
      <c r="AA16" s="29" t="n">
        <v>10</v>
      </c>
      <c r="AB16" s="30" t="n">
        <f aca="false">IFERROR(X16/P16,"")</f>
        <v>1</v>
      </c>
      <c r="AC16" s="31"/>
      <c r="AD16" s="32" t="s">
        <v>156</v>
      </c>
      <c r="AE16" s="32" t="s">
        <v>157</v>
      </c>
    </row>
    <row r="17" customFormat="false" ht="15" hidden="false" customHeight="true" outlineLevel="0" collapsed="false">
      <c r="A17" s="22" t="s">
        <v>158</v>
      </c>
      <c r="B17" s="22" t="s">
        <v>159</v>
      </c>
      <c r="C17" s="22" t="s">
        <v>154</v>
      </c>
      <c r="D17" s="22" t="s">
        <v>115</v>
      </c>
      <c r="E17" s="22" t="s">
        <v>160</v>
      </c>
      <c r="F17" s="22" t="s">
        <v>161</v>
      </c>
      <c r="G17" s="22" t="s">
        <v>94</v>
      </c>
      <c r="H17" s="22" t="s">
        <v>162</v>
      </c>
      <c r="I17" s="22" t="s">
        <v>119</v>
      </c>
      <c r="J17" s="22" t="s">
        <v>97</v>
      </c>
      <c r="K17" s="22" t="s">
        <v>98</v>
      </c>
      <c r="L17" s="22" t="s">
        <v>120</v>
      </c>
      <c r="M17" s="23" t="n">
        <v>46121</v>
      </c>
      <c r="N17" s="23" t="n">
        <v>46129</v>
      </c>
      <c r="O17" s="24" t="n">
        <v>10000</v>
      </c>
      <c r="P17" s="24" t="n">
        <v>10000</v>
      </c>
      <c r="Q17" s="25" t="n">
        <f aca="false">IF(OR(O17="",P17=""),"",O17-P17)</f>
        <v>0</v>
      </c>
      <c r="R17" s="24" t="s">
        <v>92</v>
      </c>
      <c r="S17" s="26" t="n">
        <v>10</v>
      </c>
      <c r="T17" s="26" t="n">
        <v>10</v>
      </c>
      <c r="U17" s="24" t="n">
        <v>10000</v>
      </c>
      <c r="V17" s="24" t="n">
        <v>0</v>
      </c>
      <c r="W17" s="24" t="s">
        <v>92</v>
      </c>
      <c r="X17" s="25" t="n">
        <f aca="false">IF(OR(U17="",V17=""),"",U17+V17)</f>
        <v>10000</v>
      </c>
      <c r="Y17" s="27" t="n">
        <f aca="false">tblInvestments[[#This Row],[Commitment ($)]]*tblInvestments[[#This Row],[Expected MOIC]]</f>
        <v>27100</v>
      </c>
      <c r="Z17" s="28"/>
      <c r="AA17" s="29" t="n">
        <v>2.71</v>
      </c>
      <c r="AB17" s="30" t="n">
        <f aca="false">IFERROR(X17/P17,"")</f>
        <v>1</v>
      </c>
      <c r="AC17" s="31"/>
      <c r="AD17" s="32" t="s">
        <v>156</v>
      </c>
      <c r="AE17" s="32" t="s">
        <v>157</v>
      </c>
    </row>
    <row r="18" customFormat="false" ht="68.25" hidden="false" customHeight="true" outlineLevel="0" collapsed="false">
      <c r="A18" s="22" t="s">
        <v>163</v>
      </c>
      <c r="B18" s="22" t="s">
        <v>164</v>
      </c>
      <c r="C18" s="22" t="s">
        <v>165</v>
      </c>
      <c r="D18" s="22" t="s">
        <v>166</v>
      </c>
      <c r="E18" s="22" t="s">
        <v>92</v>
      </c>
      <c r="F18" s="22" t="s">
        <v>167</v>
      </c>
      <c r="G18" s="22" t="s">
        <v>137</v>
      </c>
      <c r="H18" s="22" t="s">
        <v>166</v>
      </c>
      <c r="I18" s="22" t="s">
        <v>96</v>
      </c>
      <c r="J18" s="22" t="s">
        <v>97</v>
      </c>
      <c r="K18" s="22" t="s">
        <v>98</v>
      </c>
      <c r="L18" s="22" t="s">
        <v>99</v>
      </c>
      <c r="M18" s="23" t="n">
        <v>46135</v>
      </c>
      <c r="N18" s="23" t="n">
        <v>46174</v>
      </c>
      <c r="O18" s="24" t="n">
        <v>100000</v>
      </c>
      <c r="P18" s="24" t="n">
        <v>10000</v>
      </c>
      <c r="Q18" s="25" t="n">
        <f aca="false">IF(OR(O18="",P18=""),"",O18-P18)</f>
        <v>90000</v>
      </c>
      <c r="R18" s="24" t="s">
        <v>168</v>
      </c>
      <c r="S18" s="26" t="n">
        <v>8</v>
      </c>
      <c r="T18" s="26" t="n">
        <v>8</v>
      </c>
      <c r="U18" s="24" t="n">
        <f aca="false">tblInvestments[[#This Row],[Amount Funded ($)]]</f>
        <v>10000</v>
      </c>
      <c r="V18" s="24" t="n">
        <v>0</v>
      </c>
      <c r="W18" s="24" t="s">
        <v>169</v>
      </c>
      <c r="X18" s="25" t="n">
        <f aca="false">IF(OR(U18="",V18=""),"",U18+V18)</f>
        <v>10000</v>
      </c>
      <c r="Y18" s="27" t="n">
        <f aca="false">tblInvestments[[#This Row],[Commitment ($)]]*tblInvestments[[#This Row],[Expected MOIC]]</f>
        <v>327000</v>
      </c>
      <c r="Z18" s="28" t="n">
        <v>0.23</v>
      </c>
      <c r="AA18" s="29" t="n">
        <v>3.27</v>
      </c>
      <c r="AB18" s="30" t="n">
        <f aca="false">IFERROR(X18/P18,"")</f>
        <v>1</v>
      </c>
      <c r="AC18" s="31"/>
      <c r="AD18" s="31"/>
      <c r="AE18" s="33"/>
    </row>
    <row r="19" customFormat="false" ht="15" hidden="false" customHeight="true" outlineLevel="0" collapsed="false">
      <c r="A19" s="34"/>
      <c r="B19" s="34"/>
      <c r="C19" s="34"/>
      <c r="D19" s="34"/>
      <c r="E19" s="34"/>
      <c r="F19" s="34"/>
      <c r="G19" s="35"/>
      <c r="H19" s="36"/>
      <c r="I19" s="22"/>
      <c r="J19" s="22"/>
      <c r="K19" s="22"/>
      <c r="L19" s="22"/>
      <c r="M19" s="23"/>
      <c r="N19" s="23"/>
      <c r="O19" s="24"/>
      <c r="P19" s="24"/>
      <c r="Q19" s="25" t="str">
        <f aca="false">IF(OR(O19="",P19=""),"",O19-P19)</f>
        <v/>
      </c>
      <c r="R19" s="24"/>
      <c r="S19" s="37"/>
      <c r="T19" s="37"/>
      <c r="U19" s="24"/>
      <c r="V19" s="24"/>
      <c r="W19" s="38"/>
      <c r="X19" s="25" t="str">
        <f aca="false">IF(OR(U19="",V19=""),"",U19+V19)</f>
        <v/>
      </c>
      <c r="Y19" s="39" t="str">
        <f aca="false">IF(OR(O19="",AA19=""),"",O19*AA19)</f>
        <v/>
      </c>
      <c r="Z19" s="28"/>
      <c r="AA19" s="40" t="str">
        <f aca="false">IFERROR(Y19/P19,"")</f>
        <v/>
      </c>
      <c r="AB19" s="30" t="str">
        <f aca="false">IFERROR(X19/P19,"")</f>
        <v/>
      </c>
      <c r="AC19" s="41"/>
      <c r="AD19" s="41"/>
      <c r="AE19" s="33"/>
    </row>
    <row r="20" customFormat="false" ht="15" hidden="false" customHeight="true" outlineLevel="0" collapsed="false">
      <c r="A20" s="42"/>
      <c r="B20" s="42"/>
      <c r="C20" s="42"/>
      <c r="D20" s="42"/>
      <c r="E20" s="42"/>
      <c r="F20" s="42"/>
      <c r="G20" s="43"/>
      <c r="H20" s="36"/>
      <c r="I20" s="22"/>
      <c r="J20" s="22"/>
      <c r="K20" s="22"/>
      <c r="L20" s="22"/>
      <c r="M20" s="23"/>
      <c r="N20" s="23"/>
      <c r="O20" s="24"/>
      <c r="P20" s="24"/>
      <c r="Q20" s="25" t="str">
        <f aca="false">IF(OR(O20="",P20=""),"",O20-P20)</f>
        <v/>
      </c>
      <c r="R20" s="24"/>
      <c r="S20" s="37"/>
      <c r="T20" s="37"/>
      <c r="U20" s="38"/>
      <c r="V20" s="38"/>
      <c r="W20" s="38"/>
      <c r="X20" s="25" t="str">
        <f aca="false">IF(OR(U20="",V20=""),"",U20+V20)</f>
        <v/>
      </c>
      <c r="Y20" s="39" t="str">
        <f aca="false">IF(OR(O20="",AA20=""),"",O20*AA20)</f>
        <v/>
      </c>
      <c r="Z20" s="28"/>
      <c r="AA20" s="40" t="str">
        <f aca="false">IFERROR(Y20/P20,"")</f>
        <v/>
      </c>
      <c r="AB20" s="30" t="str">
        <f aca="false">IFERROR(X20/P20,"")</f>
        <v/>
      </c>
      <c r="AC20" s="41"/>
      <c r="AD20" s="41"/>
      <c r="AE20" s="33"/>
    </row>
    <row r="21" customFormat="false" ht="15" hidden="false" customHeight="true" outlineLevel="0" collapsed="false">
      <c r="A21" s="42"/>
      <c r="B21" s="42"/>
      <c r="C21" s="42"/>
      <c r="D21" s="42"/>
      <c r="E21" s="42"/>
      <c r="F21" s="42"/>
      <c r="G21" s="43"/>
      <c r="H21" s="36"/>
      <c r="I21" s="22"/>
      <c r="J21" s="22"/>
      <c r="K21" s="22"/>
      <c r="L21" s="22"/>
      <c r="M21" s="23"/>
      <c r="N21" s="23"/>
      <c r="O21" s="38"/>
      <c r="P21" s="38"/>
      <c r="Q21" s="25" t="str">
        <f aca="false">IF(OR(O21="",P21=""),"",O21-P21)</f>
        <v/>
      </c>
      <c r="R21" s="24"/>
      <c r="S21" s="37"/>
      <c r="T21" s="37"/>
      <c r="U21" s="38"/>
      <c r="V21" s="38"/>
      <c r="W21" s="38"/>
      <c r="X21" s="25" t="str">
        <f aca="false">IF(OR(U21="",V21=""),"",U21+V21)</f>
        <v/>
      </c>
      <c r="Y21" s="39" t="str">
        <f aca="false">IF(OR(O21="",AA21=""),"",O21*AA21)</f>
        <v/>
      </c>
      <c r="Z21" s="40"/>
      <c r="AA21" s="40" t="str">
        <f aca="false">IFERROR(Y21/P21,"")</f>
        <v/>
      </c>
      <c r="AB21" s="30" t="str">
        <f aca="false">IFERROR(X21/P21,"")</f>
        <v/>
      </c>
      <c r="AC21" s="41"/>
      <c r="AD21" s="41"/>
      <c r="AE21" s="33"/>
    </row>
    <row r="22" customFormat="false" ht="15" hidden="false" customHeight="true" outlineLevel="0" collapsed="false">
      <c r="A22" s="42"/>
      <c r="B22" s="42"/>
      <c r="C22" s="42"/>
      <c r="D22" s="42"/>
      <c r="E22" s="42"/>
      <c r="F22" s="42"/>
      <c r="G22" s="43"/>
      <c r="H22" s="36"/>
      <c r="I22" s="22"/>
      <c r="J22" s="22"/>
      <c r="K22" s="22"/>
      <c r="L22" s="22"/>
      <c r="M22" s="23"/>
      <c r="N22" s="23"/>
      <c r="O22" s="38"/>
      <c r="P22" s="38"/>
      <c r="Q22" s="25" t="str">
        <f aca="false">IF(OR(O22="",P22=""),"",O22-P22)</f>
        <v/>
      </c>
      <c r="R22" s="24"/>
      <c r="S22" s="37"/>
      <c r="T22" s="37"/>
      <c r="U22" s="38"/>
      <c r="V22" s="38"/>
      <c r="W22" s="38"/>
      <c r="X22" s="25" t="str">
        <f aca="false">IF(OR(U22="",V22=""),"",U22+V22)</f>
        <v/>
      </c>
      <c r="Y22" s="39" t="str">
        <f aca="false">IF(OR(O22="",AA22=""),"",O22*AA22)</f>
        <v/>
      </c>
      <c r="Z22" s="40"/>
      <c r="AA22" s="40" t="str">
        <f aca="false">IFERROR(Y22/P22,"")</f>
        <v/>
      </c>
      <c r="AB22" s="30" t="str">
        <f aca="false">IFERROR(X22/P22,"")</f>
        <v/>
      </c>
      <c r="AC22" s="41"/>
      <c r="AD22" s="41"/>
      <c r="AE22" s="33"/>
    </row>
    <row r="23" customFormat="false" ht="15" hidden="false" customHeight="true" outlineLevel="0" collapsed="false">
      <c r="A23" s="42"/>
      <c r="B23" s="42"/>
      <c r="C23" s="42"/>
      <c r="D23" s="42"/>
      <c r="E23" s="42"/>
      <c r="F23" s="42"/>
      <c r="G23" s="43"/>
      <c r="H23" s="36"/>
      <c r="I23" s="22"/>
      <c r="J23" s="22"/>
      <c r="K23" s="22"/>
      <c r="L23" s="22"/>
      <c r="M23" s="23"/>
      <c r="N23" s="23"/>
      <c r="O23" s="38"/>
      <c r="P23" s="38"/>
      <c r="Q23" s="25" t="str">
        <f aca="false">IF(OR(O23="",P23=""),"",O23-P23)</f>
        <v/>
      </c>
      <c r="R23" s="24"/>
      <c r="S23" s="37"/>
      <c r="T23" s="37"/>
      <c r="U23" s="38"/>
      <c r="V23" s="38"/>
      <c r="W23" s="38"/>
      <c r="X23" s="25" t="str">
        <f aca="false">IF(OR(U23="",V23=""),"",U23+V23)</f>
        <v/>
      </c>
      <c r="Y23" s="39" t="str">
        <f aca="false">IF(OR(O23="",AA23=""),"",O23*AA23)</f>
        <v/>
      </c>
      <c r="Z23" s="40"/>
      <c r="AA23" s="40" t="str">
        <f aca="false">IFERROR(Y23/P23,"")</f>
        <v/>
      </c>
      <c r="AB23" s="30" t="str">
        <f aca="false">IFERROR(X23/P23,"")</f>
        <v/>
      </c>
      <c r="AC23" s="41"/>
      <c r="AD23" s="41"/>
      <c r="AE23" s="44"/>
    </row>
    <row r="24" customFormat="false" ht="15" hidden="false" customHeight="true" outlineLevel="0" collapsed="false">
      <c r="A24" s="42"/>
      <c r="B24" s="42"/>
      <c r="C24" s="42"/>
      <c r="D24" s="42"/>
      <c r="E24" s="42"/>
      <c r="F24" s="42"/>
      <c r="G24" s="43"/>
      <c r="H24" s="36"/>
      <c r="I24" s="36"/>
      <c r="J24" s="36"/>
      <c r="K24" s="36"/>
      <c r="L24" s="36"/>
      <c r="M24" s="45"/>
      <c r="N24" s="45"/>
      <c r="O24" s="38"/>
      <c r="P24" s="38"/>
      <c r="Q24" s="25" t="str">
        <f aca="false">IF(OR(O24="",P24=""),"",O24-P24)</f>
        <v/>
      </c>
      <c r="R24" s="24"/>
      <c r="S24" s="37"/>
      <c r="T24" s="37"/>
      <c r="U24" s="38"/>
      <c r="V24" s="38"/>
      <c r="W24" s="38"/>
      <c r="X24" s="25" t="str">
        <f aca="false">IF(OR(U24="",V24=""),"",U24+V24)</f>
        <v/>
      </c>
      <c r="Y24" s="39" t="str">
        <f aca="false">IF(OR(O24="",AA24=""),"",O24*AA24)</f>
        <v/>
      </c>
      <c r="Z24" s="40"/>
      <c r="AA24" s="40" t="str">
        <f aca="false">IFERROR(Y24/P24,"")</f>
        <v/>
      </c>
      <c r="AB24" s="30" t="str">
        <f aca="false">IFERROR(X24/P24,"")</f>
        <v/>
      </c>
      <c r="AC24" s="41"/>
      <c r="AD24" s="41"/>
      <c r="AE24" s="44"/>
    </row>
    <row r="25" customFormat="false" ht="15" hidden="false" customHeight="true" outlineLevel="0" collapsed="false">
      <c r="A25" s="42"/>
      <c r="B25" s="42"/>
      <c r="C25" s="42"/>
      <c r="D25" s="42"/>
      <c r="E25" s="42"/>
      <c r="F25" s="42"/>
      <c r="G25" s="43"/>
      <c r="H25" s="36"/>
      <c r="I25" s="36"/>
      <c r="J25" s="36"/>
      <c r="K25" s="36"/>
      <c r="L25" s="36"/>
      <c r="M25" s="45"/>
      <c r="N25" s="45"/>
      <c r="O25" s="38"/>
      <c r="P25" s="38"/>
      <c r="Q25" s="25" t="str">
        <f aca="false">IF(OR(O25="",P25=""),"",O25-P25)</f>
        <v/>
      </c>
      <c r="R25" s="24"/>
      <c r="S25" s="37"/>
      <c r="T25" s="37"/>
      <c r="U25" s="38"/>
      <c r="V25" s="38"/>
      <c r="W25" s="38"/>
      <c r="X25" s="25" t="str">
        <f aca="false">IF(OR(U25="",V25=""),"",U25+V25)</f>
        <v/>
      </c>
      <c r="Y25" s="39" t="str">
        <f aca="false">IF(OR(O25="",AA25=""),"",O25*AA25)</f>
        <v/>
      </c>
      <c r="Z25" s="40"/>
      <c r="AA25" s="40" t="str">
        <f aca="false">IFERROR(Y25/P25,"")</f>
        <v/>
      </c>
      <c r="AB25" s="30" t="str">
        <f aca="false">IFERROR(X25/P25,"")</f>
        <v/>
      </c>
      <c r="AC25" s="41"/>
      <c r="AD25" s="41"/>
      <c r="AE25" s="44"/>
    </row>
    <row r="26" customFormat="false" ht="15" hidden="false" customHeight="true" outlineLevel="0" collapsed="false">
      <c r="A26" s="42"/>
      <c r="B26" s="42"/>
      <c r="C26" s="42"/>
      <c r="D26" s="42"/>
      <c r="E26" s="42"/>
      <c r="F26" s="42"/>
      <c r="G26" s="43"/>
      <c r="H26" s="36"/>
      <c r="I26" s="36"/>
      <c r="J26" s="36"/>
      <c r="K26" s="36"/>
      <c r="L26" s="36"/>
      <c r="M26" s="45"/>
      <c r="N26" s="45"/>
      <c r="O26" s="38"/>
      <c r="P26" s="38"/>
      <c r="Q26" s="25" t="str">
        <f aca="false">IF(OR(O26="",P26=""),"",O26-P26)</f>
        <v/>
      </c>
      <c r="R26" s="24"/>
      <c r="S26" s="37"/>
      <c r="T26" s="37"/>
      <c r="U26" s="38"/>
      <c r="V26" s="38"/>
      <c r="W26" s="38"/>
      <c r="X26" s="25" t="str">
        <f aca="false">IF(OR(U26="",V26=""),"",U26+V26)</f>
        <v/>
      </c>
      <c r="Y26" s="39" t="str">
        <f aca="false">IF(OR(O26="",AA26=""),"",O26*AA26)</f>
        <v/>
      </c>
      <c r="Z26" s="40"/>
      <c r="AA26" s="40" t="str">
        <f aca="false">IFERROR(Y26/P26,"")</f>
        <v/>
      </c>
      <c r="AB26" s="30" t="str">
        <f aca="false">IFERROR(X26/P26,"")</f>
        <v/>
      </c>
      <c r="AC26" s="41"/>
      <c r="AD26" s="41"/>
      <c r="AE26" s="44"/>
    </row>
    <row r="27" customFormat="false" ht="15" hidden="false" customHeight="true" outlineLevel="0" collapsed="false">
      <c r="A27" s="42"/>
      <c r="B27" s="42"/>
      <c r="C27" s="42"/>
      <c r="D27" s="42"/>
      <c r="E27" s="42"/>
      <c r="F27" s="42"/>
      <c r="G27" s="43"/>
      <c r="H27" s="36"/>
      <c r="I27" s="36"/>
      <c r="J27" s="36"/>
      <c r="K27" s="36"/>
      <c r="L27" s="36"/>
      <c r="M27" s="45"/>
      <c r="N27" s="45"/>
      <c r="O27" s="38"/>
      <c r="P27" s="38"/>
      <c r="Q27" s="25" t="str">
        <f aca="false">IF(OR(O27="",P27=""),"",O27-P27)</f>
        <v/>
      </c>
      <c r="R27" s="24"/>
      <c r="S27" s="37"/>
      <c r="T27" s="37"/>
      <c r="U27" s="38"/>
      <c r="V27" s="38"/>
      <c r="W27" s="38"/>
      <c r="X27" s="25" t="str">
        <f aca="false">IF(OR(U27="",V27=""),"",U27+V27)</f>
        <v/>
      </c>
      <c r="Y27" s="39" t="str">
        <f aca="false">IF(OR(O27="",AA27=""),"",O27*AA27)</f>
        <v/>
      </c>
      <c r="Z27" s="40"/>
      <c r="AA27" s="40" t="str">
        <f aca="false">IFERROR(Y27/P27,"")</f>
        <v/>
      </c>
      <c r="AB27" s="30" t="str">
        <f aca="false">IFERROR(X27/P27,"")</f>
        <v/>
      </c>
      <c r="AC27" s="41"/>
      <c r="AD27" s="41"/>
      <c r="AE27" s="44"/>
    </row>
    <row r="28" customFormat="false" ht="15" hidden="false" customHeight="true" outlineLevel="0" collapsed="false">
      <c r="A28" s="42"/>
      <c r="B28" s="42"/>
      <c r="C28" s="42"/>
      <c r="D28" s="42"/>
      <c r="E28" s="42"/>
      <c r="F28" s="42"/>
      <c r="G28" s="43"/>
      <c r="H28" s="36"/>
      <c r="I28" s="36"/>
      <c r="J28" s="36"/>
      <c r="K28" s="36"/>
      <c r="L28" s="36"/>
      <c r="M28" s="45"/>
      <c r="N28" s="45"/>
      <c r="O28" s="38"/>
      <c r="P28" s="38"/>
      <c r="Q28" s="25" t="str">
        <f aca="false">IF(OR(O28="",P28=""),"",O28-P28)</f>
        <v/>
      </c>
      <c r="R28" s="24"/>
      <c r="S28" s="37"/>
      <c r="T28" s="37"/>
      <c r="U28" s="38"/>
      <c r="V28" s="38"/>
      <c r="W28" s="38"/>
      <c r="X28" s="25" t="str">
        <f aca="false">IF(OR(U28="",V28=""),"",U28+V28)</f>
        <v/>
      </c>
      <c r="Y28" s="39" t="str">
        <f aca="false">IF(OR(O28="",AA28=""),"",O28*AA28)</f>
        <v/>
      </c>
      <c r="Z28" s="40"/>
      <c r="AA28" s="40" t="str">
        <f aca="false">IFERROR(Y28/P28,"")</f>
        <v/>
      </c>
      <c r="AB28" s="30" t="str">
        <f aca="false">IFERROR(X28/P28,"")</f>
        <v/>
      </c>
      <c r="AC28" s="41"/>
      <c r="AD28" s="41"/>
      <c r="AE28" s="44"/>
    </row>
    <row r="29" customFormat="false" ht="15" hidden="false" customHeight="true" outlineLevel="0" collapsed="false">
      <c r="A29" s="42"/>
      <c r="B29" s="42"/>
      <c r="C29" s="42"/>
      <c r="D29" s="42"/>
      <c r="E29" s="42"/>
      <c r="F29" s="42"/>
      <c r="G29" s="43"/>
      <c r="H29" s="36"/>
      <c r="I29" s="36"/>
      <c r="J29" s="36"/>
      <c r="K29" s="36"/>
      <c r="L29" s="36"/>
      <c r="M29" s="45"/>
      <c r="N29" s="45"/>
      <c r="O29" s="38"/>
      <c r="P29" s="38"/>
      <c r="Q29" s="25" t="str">
        <f aca="false">IF(OR(O29="",P29=""),"",O29-P29)</f>
        <v/>
      </c>
      <c r="R29" s="24"/>
      <c r="S29" s="37"/>
      <c r="T29" s="37"/>
      <c r="U29" s="38"/>
      <c r="V29" s="38"/>
      <c r="W29" s="38"/>
      <c r="X29" s="25" t="str">
        <f aca="false">IF(OR(U29="",V29=""),"",U29+V29)</f>
        <v/>
      </c>
      <c r="Y29" s="39" t="str">
        <f aca="false">IF(OR(O29="",AA29=""),"",O29*AA29)</f>
        <v/>
      </c>
      <c r="Z29" s="40"/>
      <c r="AA29" s="40" t="str">
        <f aca="false">IFERROR(Y29/P29,"")</f>
        <v/>
      </c>
      <c r="AB29" s="30" t="str">
        <f aca="false">IFERROR(X29/P29,"")</f>
        <v/>
      </c>
      <c r="AC29" s="41"/>
      <c r="AD29" s="41"/>
      <c r="AE29" s="44"/>
    </row>
    <row r="30" customFormat="false" ht="15" hidden="false" customHeight="true" outlineLevel="0" collapsed="false">
      <c r="A30" s="42"/>
      <c r="B30" s="42"/>
      <c r="C30" s="42"/>
      <c r="D30" s="42"/>
      <c r="E30" s="42"/>
      <c r="F30" s="42"/>
      <c r="G30" s="43"/>
      <c r="H30" s="36"/>
      <c r="I30" s="36"/>
      <c r="J30" s="36"/>
      <c r="K30" s="36"/>
      <c r="L30" s="36"/>
      <c r="M30" s="45"/>
      <c r="N30" s="45"/>
      <c r="O30" s="38"/>
      <c r="P30" s="38"/>
      <c r="Q30" s="25" t="str">
        <f aca="false">IF(OR(O30="",P30=""),"",O30-P30)</f>
        <v/>
      </c>
      <c r="R30" s="24"/>
      <c r="S30" s="37"/>
      <c r="T30" s="37"/>
      <c r="U30" s="38"/>
      <c r="V30" s="38"/>
      <c r="W30" s="38"/>
      <c r="X30" s="25" t="str">
        <f aca="false">IF(OR(U30="",V30=""),"",U30+V30)</f>
        <v/>
      </c>
      <c r="Y30" s="39" t="str">
        <f aca="false">IF(OR(O30="",AA30=""),"",O30*AA30)</f>
        <v/>
      </c>
      <c r="Z30" s="40"/>
      <c r="AA30" s="40" t="str">
        <f aca="false">IFERROR(Y30/P30,"")</f>
        <v/>
      </c>
      <c r="AB30" s="30" t="str">
        <f aca="false">IFERROR(X30/P30,"")</f>
        <v/>
      </c>
      <c r="AC30" s="41"/>
      <c r="AD30" s="41"/>
      <c r="AE30" s="44"/>
    </row>
    <row r="31" customFormat="false" ht="15" hidden="false" customHeight="true" outlineLevel="0" collapsed="false">
      <c r="A31" s="42"/>
      <c r="B31" s="42"/>
      <c r="C31" s="42"/>
      <c r="D31" s="42"/>
      <c r="E31" s="42"/>
      <c r="F31" s="42"/>
      <c r="G31" s="43"/>
      <c r="H31" s="36"/>
      <c r="I31" s="36"/>
      <c r="J31" s="36"/>
      <c r="K31" s="36"/>
      <c r="L31" s="36"/>
      <c r="M31" s="45"/>
      <c r="N31" s="45"/>
      <c r="O31" s="38"/>
      <c r="P31" s="38"/>
      <c r="Q31" s="25" t="str">
        <f aca="false">IF(OR(O31="",P31=""),"",O31-P31)</f>
        <v/>
      </c>
      <c r="R31" s="24"/>
      <c r="S31" s="37"/>
      <c r="T31" s="37"/>
      <c r="U31" s="38"/>
      <c r="V31" s="38"/>
      <c r="W31" s="38"/>
      <c r="X31" s="25" t="str">
        <f aca="false">IF(OR(U31="",V31=""),"",U31+V31)</f>
        <v/>
      </c>
      <c r="Y31" s="39" t="str">
        <f aca="false">IF(OR(O31="",AA31=""),"",O31*AA31)</f>
        <v/>
      </c>
      <c r="Z31" s="40"/>
      <c r="AA31" s="40" t="str">
        <f aca="false">IFERROR(Y31/P31,"")</f>
        <v/>
      </c>
      <c r="AB31" s="30" t="str">
        <f aca="false">IFERROR(X31/P31,"")</f>
        <v/>
      </c>
      <c r="AC31" s="41"/>
      <c r="AD31" s="41"/>
      <c r="AE31" s="44"/>
    </row>
    <row r="32" customFormat="false" ht="15" hidden="false" customHeight="true" outlineLevel="0" collapsed="false">
      <c r="A32" s="42"/>
      <c r="B32" s="42"/>
      <c r="C32" s="42"/>
      <c r="D32" s="42"/>
      <c r="E32" s="42"/>
      <c r="F32" s="42"/>
      <c r="G32" s="43"/>
      <c r="H32" s="36"/>
      <c r="I32" s="36"/>
      <c r="J32" s="36"/>
      <c r="K32" s="36"/>
      <c r="L32" s="36"/>
      <c r="M32" s="45"/>
      <c r="N32" s="45"/>
      <c r="O32" s="38"/>
      <c r="P32" s="38"/>
      <c r="Q32" s="25" t="str">
        <f aca="false">IF(OR(O32="",P32=""),"",O32-P32)</f>
        <v/>
      </c>
      <c r="R32" s="24"/>
      <c r="S32" s="37"/>
      <c r="T32" s="37"/>
      <c r="U32" s="38"/>
      <c r="V32" s="38"/>
      <c r="W32" s="38"/>
      <c r="X32" s="25" t="str">
        <f aca="false">IF(OR(U32="",V32=""),"",U32+V32)</f>
        <v/>
      </c>
      <c r="Y32" s="39" t="str">
        <f aca="false">IF(OR(O32="",AA32=""),"",O32*AA32)</f>
        <v/>
      </c>
      <c r="Z32" s="40"/>
      <c r="AA32" s="40" t="str">
        <f aca="false">IFERROR(Y32/P32,"")</f>
        <v/>
      </c>
      <c r="AB32" s="30" t="str">
        <f aca="false">IFERROR(X32/P32,"")</f>
        <v/>
      </c>
      <c r="AC32" s="41"/>
      <c r="AD32" s="41"/>
      <c r="AE32" s="44"/>
    </row>
    <row r="33" customFormat="false" ht="15" hidden="false" customHeight="true" outlineLevel="0" collapsed="false">
      <c r="A33" s="42"/>
      <c r="B33" s="42"/>
      <c r="C33" s="42"/>
      <c r="D33" s="42"/>
      <c r="E33" s="42"/>
      <c r="F33" s="42"/>
      <c r="G33" s="43"/>
      <c r="H33" s="36"/>
      <c r="I33" s="36"/>
      <c r="J33" s="36"/>
      <c r="K33" s="36"/>
      <c r="L33" s="36"/>
      <c r="M33" s="45"/>
      <c r="N33" s="45"/>
      <c r="O33" s="38"/>
      <c r="P33" s="38"/>
      <c r="Q33" s="25" t="str">
        <f aca="false">IF(OR(O33="",P33=""),"",O33-P33)</f>
        <v/>
      </c>
      <c r="R33" s="24"/>
      <c r="S33" s="37"/>
      <c r="T33" s="37"/>
      <c r="U33" s="38"/>
      <c r="V33" s="38"/>
      <c r="W33" s="38"/>
      <c r="X33" s="25" t="str">
        <f aca="false">IF(OR(U33="",V33=""),"",U33+V33)</f>
        <v/>
      </c>
      <c r="Y33" s="39" t="str">
        <f aca="false">IF(OR(O33="",AA33=""),"",O33*AA33)</f>
        <v/>
      </c>
      <c r="Z33" s="40"/>
      <c r="AA33" s="40" t="str">
        <f aca="false">IFERROR(Y33/P33,"")</f>
        <v/>
      </c>
      <c r="AB33" s="30" t="str">
        <f aca="false">IFERROR(X33/P33,"")</f>
        <v/>
      </c>
      <c r="AC33" s="41"/>
      <c r="AD33" s="41"/>
      <c r="AE33" s="44"/>
    </row>
    <row r="34" customFormat="false" ht="15" hidden="false" customHeight="true" outlineLevel="0" collapsed="false">
      <c r="A34" s="42"/>
      <c r="B34" s="42"/>
      <c r="C34" s="42"/>
      <c r="D34" s="42"/>
      <c r="E34" s="42"/>
      <c r="F34" s="42"/>
      <c r="G34" s="43"/>
      <c r="H34" s="36"/>
      <c r="I34" s="36"/>
      <c r="J34" s="36"/>
      <c r="K34" s="36"/>
      <c r="L34" s="36"/>
      <c r="M34" s="45"/>
      <c r="N34" s="45"/>
      <c r="O34" s="38"/>
      <c r="P34" s="38"/>
      <c r="Q34" s="25" t="str">
        <f aca="false">IF(OR(O34="",P34=""),"",O34-P34)</f>
        <v/>
      </c>
      <c r="R34" s="24"/>
      <c r="S34" s="37"/>
      <c r="T34" s="37"/>
      <c r="U34" s="38"/>
      <c r="V34" s="38"/>
      <c r="W34" s="38"/>
      <c r="X34" s="25" t="str">
        <f aca="false">IF(OR(U34="",V34=""),"",U34+V34)</f>
        <v/>
      </c>
      <c r="Y34" s="39" t="str">
        <f aca="false">IF(OR(O34="",AA34=""),"",O34*AA34)</f>
        <v/>
      </c>
      <c r="Z34" s="40"/>
      <c r="AA34" s="40" t="str">
        <f aca="false">IFERROR(Y34/P34,"")</f>
        <v/>
      </c>
      <c r="AB34" s="30" t="str">
        <f aca="false">IFERROR(X34/P34,"")</f>
        <v/>
      </c>
      <c r="AC34" s="41"/>
      <c r="AD34" s="41"/>
      <c r="AE34" s="44"/>
    </row>
    <row r="35" customFormat="false" ht="15" hidden="false" customHeight="true" outlineLevel="0" collapsed="false">
      <c r="A35" s="42"/>
      <c r="B35" s="42"/>
      <c r="C35" s="42"/>
      <c r="D35" s="42"/>
      <c r="E35" s="42"/>
      <c r="F35" s="42"/>
      <c r="G35" s="43"/>
      <c r="H35" s="36"/>
      <c r="I35" s="36"/>
      <c r="J35" s="36"/>
      <c r="K35" s="36"/>
      <c r="L35" s="36"/>
      <c r="M35" s="45"/>
      <c r="N35" s="45"/>
      <c r="O35" s="38"/>
      <c r="P35" s="38"/>
      <c r="Q35" s="25" t="str">
        <f aca="false">IF(OR(O35="",P35=""),"",O35-P35)</f>
        <v/>
      </c>
      <c r="R35" s="24"/>
      <c r="S35" s="37"/>
      <c r="T35" s="37"/>
      <c r="U35" s="38"/>
      <c r="V35" s="38"/>
      <c r="W35" s="38"/>
      <c r="X35" s="25" t="str">
        <f aca="false">IF(OR(U35="",V35=""),"",U35+V35)</f>
        <v/>
      </c>
      <c r="Y35" s="39" t="str">
        <f aca="false">IF(OR(O35="",AA35=""),"",O35*AA35)</f>
        <v/>
      </c>
      <c r="Z35" s="40"/>
      <c r="AA35" s="40" t="str">
        <f aca="false">IFERROR(Y35/P35,"")</f>
        <v/>
      </c>
      <c r="AB35" s="30" t="str">
        <f aca="false">IFERROR(X35/P35,"")</f>
        <v/>
      </c>
      <c r="AC35" s="41"/>
      <c r="AD35" s="41"/>
      <c r="AE35" s="44"/>
    </row>
    <row r="36" customFormat="false" ht="15" hidden="false" customHeight="true" outlineLevel="0" collapsed="false">
      <c r="A36" s="42"/>
      <c r="B36" s="42"/>
      <c r="C36" s="42"/>
      <c r="D36" s="42"/>
      <c r="E36" s="42"/>
      <c r="F36" s="42"/>
      <c r="G36" s="43"/>
      <c r="H36" s="36"/>
      <c r="I36" s="36"/>
      <c r="J36" s="36"/>
      <c r="K36" s="36"/>
      <c r="L36" s="36"/>
      <c r="M36" s="45"/>
      <c r="N36" s="45"/>
      <c r="O36" s="38"/>
      <c r="P36" s="38"/>
      <c r="Q36" s="25" t="str">
        <f aca="false">IF(OR(O36="",P36=""),"",O36-P36)</f>
        <v/>
      </c>
      <c r="R36" s="24"/>
      <c r="S36" s="37"/>
      <c r="T36" s="37"/>
      <c r="U36" s="38"/>
      <c r="V36" s="38"/>
      <c r="W36" s="38"/>
      <c r="X36" s="25" t="str">
        <f aca="false">IF(OR(U36="",V36=""),"",U36+V36)</f>
        <v/>
      </c>
      <c r="Y36" s="39" t="str">
        <f aca="false">IF(OR(O36="",AA36=""),"",O36*AA36)</f>
        <v/>
      </c>
      <c r="Z36" s="40"/>
      <c r="AA36" s="40" t="str">
        <f aca="false">IFERROR(Y36/P36,"")</f>
        <v/>
      </c>
      <c r="AB36" s="30" t="str">
        <f aca="false">IFERROR(X36/P36,"")</f>
        <v/>
      </c>
      <c r="AC36" s="41"/>
      <c r="AD36" s="41"/>
      <c r="AE36" s="44"/>
    </row>
    <row r="37" customFormat="false" ht="15" hidden="false" customHeight="true" outlineLevel="0" collapsed="false">
      <c r="A37" s="42"/>
      <c r="B37" s="42"/>
      <c r="C37" s="42"/>
      <c r="D37" s="42"/>
      <c r="E37" s="42"/>
      <c r="F37" s="42"/>
      <c r="G37" s="43"/>
      <c r="H37" s="36"/>
      <c r="I37" s="36"/>
      <c r="J37" s="36"/>
      <c r="K37" s="36"/>
      <c r="L37" s="36"/>
      <c r="M37" s="45"/>
      <c r="N37" s="45"/>
      <c r="O37" s="38"/>
      <c r="P37" s="38"/>
      <c r="Q37" s="25" t="str">
        <f aca="false">IF(OR(O37="",P37=""),"",O37-P37)</f>
        <v/>
      </c>
      <c r="R37" s="24"/>
      <c r="S37" s="37"/>
      <c r="T37" s="37"/>
      <c r="U37" s="38"/>
      <c r="V37" s="38"/>
      <c r="W37" s="38"/>
      <c r="X37" s="25" t="str">
        <f aca="false">IF(OR(U37="",V37=""),"",U37+V37)</f>
        <v/>
      </c>
      <c r="Y37" s="39" t="str">
        <f aca="false">IF(OR(O37="",AA37=""),"",O37*AA37)</f>
        <v/>
      </c>
      <c r="Z37" s="40"/>
      <c r="AA37" s="40" t="str">
        <f aca="false">IFERROR(Y37/P37,"")</f>
        <v/>
      </c>
      <c r="AB37" s="30" t="str">
        <f aca="false">IFERROR(X37/P37,"")</f>
        <v/>
      </c>
      <c r="AC37" s="41"/>
      <c r="AD37" s="41"/>
      <c r="AE37" s="44"/>
    </row>
    <row r="38" customFormat="false" ht="15" hidden="false" customHeight="true" outlineLevel="0" collapsed="false">
      <c r="A38" s="42"/>
      <c r="B38" s="42"/>
      <c r="C38" s="42"/>
      <c r="D38" s="42"/>
      <c r="E38" s="42"/>
      <c r="F38" s="42"/>
      <c r="G38" s="43"/>
      <c r="H38" s="36"/>
      <c r="I38" s="36"/>
      <c r="J38" s="36"/>
      <c r="K38" s="36"/>
      <c r="L38" s="36"/>
      <c r="M38" s="45"/>
      <c r="N38" s="45"/>
      <c r="O38" s="38"/>
      <c r="P38" s="38"/>
      <c r="Q38" s="25" t="str">
        <f aca="false">IF(OR(O38="",P38=""),"",O38-P38)</f>
        <v/>
      </c>
      <c r="R38" s="24"/>
      <c r="S38" s="37"/>
      <c r="T38" s="37"/>
      <c r="U38" s="38"/>
      <c r="V38" s="38"/>
      <c r="W38" s="38"/>
      <c r="X38" s="25" t="str">
        <f aca="false">IF(OR(U38="",V38=""),"",U38+V38)</f>
        <v/>
      </c>
      <c r="Y38" s="39" t="str">
        <f aca="false">IF(OR(O38="",AA38=""),"",O38*AA38)</f>
        <v/>
      </c>
      <c r="Z38" s="40"/>
      <c r="AA38" s="40" t="str">
        <f aca="false">IFERROR(Y38/P38,"")</f>
        <v/>
      </c>
      <c r="AB38" s="30" t="str">
        <f aca="false">IFERROR(X38/P38,"")</f>
        <v/>
      </c>
      <c r="AC38" s="41"/>
      <c r="AD38" s="41"/>
      <c r="AE38" s="44"/>
    </row>
    <row r="39" customFormat="false" ht="15" hidden="false" customHeight="true" outlineLevel="0" collapsed="false">
      <c r="A39" s="42"/>
      <c r="B39" s="42"/>
      <c r="C39" s="42"/>
      <c r="D39" s="42"/>
      <c r="E39" s="42"/>
      <c r="F39" s="42"/>
      <c r="G39" s="43"/>
      <c r="H39" s="36"/>
      <c r="I39" s="36"/>
      <c r="J39" s="36"/>
      <c r="K39" s="36"/>
      <c r="L39" s="36"/>
      <c r="M39" s="45"/>
      <c r="N39" s="45"/>
      <c r="O39" s="38"/>
      <c r="P39" s="38"/>
      <c r="Q39" s="25" t="str">
        <f aca="false">IF(OR(O39="",P39=""),"",O39-P39)</f>
        <v/>
      </c>
      <c r="R39" s="24"/>
      <c r="S39" s="37"/>
      <c r="T39" s="37"/>
      <c r="U39" s="38"/>
      <c r="V39" s="38"/>
      <c r="W39" s="38"/>
      <c r="X39" s="25" t="str">
        <f aca="false">IF(OR(U39="",V39=""),"",U39+V39)</f>
        <v/>
      </c>
      <c r="Y39" s="39" t="str">
        <f aca="false">IF(OR(O39="",AA39=""),"",O39*AA39)</f>
        <v/>
      </c>
      <c r="Z39" s="40"/>
      <c r="AA39" s="40" t="str">
        <f aca="false">IFERROR(Y39/P39,"")</f>
        <v/>
      </c>
      <c r="AB39" s="30" t="str">
        <f aca="false">IFERROR(X39/P39,"")</f>
        <v/>
      </c>
      <c r="AC39" s="41"/>
      <c r="AD39" s="41"/>
      <c r="AE39" s="44"/>
    </row>
    <row r="40" customFormat="false" ht="15" hidden="false" customHeight="true" outlineLevel="0" collapsed="false">
      <c r="A40" s="42"/>
      <c r="B40" s="42"/>
      <c r="C40" s="42"/>
      <c r="D40" s="42"/>
      <c r="E40" s="42"/>
      <c r="F40" s="42"/>
      <c r="G40" s="43"/>
      <c r="H40" s="36"/>
      <c r="I40" s="36"/>
      <c r="J40" s="36"/>
      <c r="K40" s="36"/>
      <c r="L40" s="36"/>
      <c r="M40" s="45"/>
      <c r="N40" s="45"/>
      <c r="O40" s="38"/>
      <c r="P40" s="38"/>
      <c r="Q40" s="25" t="str">
        <f aca="false">IF(OR(O40="",P40=""),"",O40-P40)</f>
        <v/>
      </c>
      <c r="R40" s="24"/>
      <c r="S40" s="37"/>
      <c r="T40" s="37"/>
      <c r="U40" s="38"/>
      <c r="V40" s="38"/>
      <c r="W40" s="38"/>
      <c r="X40" s="25" t="str">
        <f aca="false">IF(OR(U40="",V40=""),"",U40+V40)</f>
        <v/>
      </c>
      <c r="Y40" s="39" t="str">
        <f aca="false">IF(OR(O40="",AA40=""),"",O40*AA40)</f>
        <v/>
      </c>
      <c r="Z40" s="40"/>
      <c r="AA40" s="40" t="str">
        <f aca="false">IFERROR(Y40/P40,"")</f>
        <v/>
      </c>
      <c r="AB40" s="30" t="str">
        <f aca="false">IFERROR(X40/P40,"")</f>
        <v/>
      </c>
      <c r="AC40" s="41"/>
      <c r="AD40" s="41"/>
      <c r="AE40" s="44"/>
    </row>
    <row r="41" customFormat="false" ht="15" hidden="false" customHeight="true" outlineLevel="0" collapsed="false">
      <c r="A41" s="42"/>
      <c r="B41" s="42"/>
      <c r="C41" s="42"/>
      <c r="D41" s="42"/>
      <c r="E41" s="42"/>
      <c r="F41" s="42"/>
      <c r="G41" s="43"/>
      <c r="H41" s="36"/>
      <c r="I41" s="36"/>
      <c r="J41" s="36"/>
      <c r="K41" s="36"/>
      <c r="L41" s="36"/>
      <c r="M41" s="45"/>
      <c r="N41" s="45"/>
      <c r="O41" s="38"/>
      <c r="P41" s="38"/>
      <c r="Q41" s="25" t="str">
        <f aca="false">IF(OR(O41="",P41=""),"",O41-P41)</f>
        <v/>
      </c>
      <c r="R41" s="24"/>
      <c r="S41" s="37"/>
      <c r="T41" s="37"/>
      <c r="U41" s="38"/>
      <c r="V41" s="38"/>
      <c r="W41" s="38"/>
      <c r="X41" s="25" t="str">
        <f aca="false">IF(OR(U41="",V41=""),"",U41+V41)</f>
        <v/>
      </c>
      <c r="Y41" s="39" t="str">
        <f aca="false">IF(OR(O41="",AA41=""),"",O41*AA41)</f>
        <v/>
      </c>
      <c r="Z41" s="40"/>
      <c r="AA41" s="40" t="str">
        <f aca="false">IFERROR(Y41/P41,"")</f>
        <v/>
      </c>
      <c r="AB41" s="30" t="str">
        <f aca="false">IFERROR(X41/P41,"")</f>
        <v/>
      </c>
      <c r="AC41" s="41"/>
      <c r="AD41" s="41"/>
      <c r="AE41" s="44"/>
    </row>
    <row r="42" customFormat="false" ht="15" hidden="false" customHeight="true" outlineLevel="0" collapsed="false">
      <c r="A42" s="42"/>
      <c r="B42" s="42"/>
      <c r="C42" s="42"/>
      <c r="D42" s="42"/>
      <c r="E42" s="42"/>
      <c r="F42" s="42"/>
      <c r="G42" s="43"/>
      <c r="H42" s="36"/>
      <c r="I42" s="36"/>
      <c r="J42" s="36"/>
      <c r="K42" s="36"/>
      <c r="L42" s="36"/>
      <c r="M42" s="45"/>
      <c r="N42" s="45"/>
      <c r="O42" s="38"/>
      <c r="P42" s="38"/>
      <c r="Q42" s="25" t="str">
        <f aca="false">IF(OR(O42="",P42=""),"",O42-P42)</f>
        <v/>
      </c>
      <c r="R42" s="24"/>
      <c r="S42" s="37"/>
      <c r="T42" s="37"/>
      <c r="U42" s="38"/>
      <c r="V42" s="38"/>
      <c r="W42" s="38"/>
      <c r="X42" s="25" t="str">
        <f aca="false">IF(OR(U42="",V42=""),"",U42+V42)</f>
        <v/>
      </c>
      <c r="Y42" s="39" t="str">
        <f aca="false">IF(OR(O42="",AA42=""),"",O42*AA42)</f>
        <v/>
      </c>
      <c r="Z42" s="40"/>
      <c r="AA42" s="40" t="str">
        <f aca="false">IFERROR(Y42/P42,"")</f>
        <v/>
      </c>
      <c r="AB42" s="30" t="str">
        <f aca="false">IFERROR(X42/P42,"")</f>
        <v/>
      </c>
      <c r="AC42" s="41"/>
      <c r="AD42" s="41"/>
      <c r="AE42" s="44"/>
    </row>
    <row r="43" customFormat="false" ht="15" hidden="false" customHeight="true" outlineLevel="0" collapsed="false">
      <c r="A43" s="42"/>
      <c r="B43" s="42"/>
      <c r="C43" s="42"/>
      <c r="D43" s="42"/>
      <c r="E43" s="42"/>
      <c r="F43" s="42"/>
      <c r="G43" s="43"/>
      <c r="H43" s="36"/>
      <c r="I43" s="36"/>
      <c r="J43" s="36"/>
      <c r="K43" s="36"/>
      <c r="L43" s="36"/>
      <c r="M43" s="45"/>
      <c r="N43" s="45"/>
      <c r="O43" s="38"/>
      <c r="P43" s="38"/>
      <c r="Q43" s="25" t="str">
        <f aca="false">IF(OR(O43="",P43=""),"",O43-P43)</f>
        <v/>
      </c>
      <c r="R43" s="24"/>
      <c r="S43" s="37"/>
      <c r="T43" s="37"/>
      <c r="U43" s="38"/>
      <c r="V43" s="38"/>
      <c r="W43" s="38"/>
      <c r="X43" s="25" t="str">
        <f aca="false">IF(OR(U43="",V43=""),"",U43+V43)</f>
        <v/>
      </c>
      <c r="Y43" s="39" t="str">
        <f aca="false">IF(OR(O43="",AA43=""),"",O43*AA43)</f>
        <v/>
      </c>
      <c r="Z43" s="40"/>
      <c r="AA43" s="40" t="str">
        <f aca="false">IFERROR(Y43/P43,"")</f>
        <v/>
      </c>
      <c r="AB43" s="30" t="str">
        <f aca="false">IFERROR(X43/P43,"")</f>
        <v/>
      </c>
      <c r="AC43" s="41"/>
      <c r="AD43" s="41"/>
      <c r="AE43" s="44"/>
    </row>
    <row r="44" customFormat="false" ht="15" hidden="false" customHeight="true" outlineLevel="0" collapsed="false">
      <c r="A44" s="42"/>
      <c r="B44" s="42"/>
      <c r="C44" s="42"/>
      <c r="D44" s="42"/>
      <c r="E44" s="42"/>
      <c r="F44" s="42"/>
      <c r="G44" s="43"/>
      <c r="H44" s="36"/>
      <c r="I44" s="36"/>
      <c r="J44" s="36"/>
      <c r="K44" s="36"/>
      <c r="L44" s="36"/>
      <c r="M44" s="45"/>
      <c r="N44" s="45"/>
      <c r="O44" s="38"/>
      <c r="P44" s="38"/>
      <c r="Q44" s="25" t="str">
        <f aca="false">IF(OR(O44="",P44=""),"",O44-P44)</f>
        <v/>
      </c>
      <c r="R44" s="24"/>
      <c r="S44" s="37"/>
      <c r="T44" s="37"/>
      <c r="U44" s="38"/>
      <c r="V44" s="38"/>
      <c r="W44" s="38"/>
      <c r="X44" s="25" t="str">
        <f aca="false">IF(OR(U44="",V44=""),"",U44+V44)</f>
        <v/>
      </c>
      <c r="Y44" s="39" t="str">
        <f aca="false">IF(OR(O44="",AA44=""),"",O44*AA44)</f>
        <v/>
      </c>
      <c r="Z44" s="40"/>
      <c r="AA44" s="40" t="str">
        <f aca="false">IFERROR(Y44/P44,"")</f>
        <v/>
      </c>
      <c r="AB44" s="30" t="str">
        <f aca="false">IFERROR(X44/P44,"")</f>
        <v/>
      </c>
      <c r="AC44" s="41"/>
      <c r="AD44" s="41"/>
      <c r="AE44" s="44"/>
    </row>
    <row r="45" customFormat="false" ht="15" hidden="false" customHeight="true" outlineLevel="0" collapsed="false">
      <c r="A45" s="42"/>
      <c r="B45" s="42"/>
      <c r="C45" s="42"/>
      <c r="D45" s="42"/>
      <c r="E45" s="42"/>
      <c r="F45" s="42"/>
      <c r="G45" s="43"/>
      <c r="H45" s="36"/>
      <c r="I45" s="36"/>
      <c r="J45" s="36"/>
      <c r="K45" s="36"/>
      <c r="L45" s="36"/>
      <c r="M45" s="45"/>
      <c r="N45" s="45"/>
      <c r="O45" s="38"/>
      <c r="P45" s="38"/>
      <c r="Q45" s="25" t="str">
        <f aca="false">IF(OR(O45="",P45=""),"",O45-P45)</f>
        <v/>
      </c>
      <c r="R45" s="24"/>
      <c r="S45" s="37"/>
      <c r="T45" s="37"/>
      <c r="U45" s="38"/>
      <c r="V45" s="38"/>
      <c r="W45" s="38"/>
      <c r="X45" s="25" t="str">
        <f aca="false">IF(OR(U45="",V45=""),"",U45+V45)</f>
        <v/>
      </c>
      <c r="Y45" s="39" t="str">
        <f aca="false">IF(OR(O45="",AA45=""),"",O45*AA45)</f>
        <v/>
      </c>
      <c r="Z45" s="40"/>
      <c r="AA45" s="40" t="str">
        <f aca="false">IFERROR(Y45/P45,"")</f>
        <v/>
      </c>
      <c r="AB45" s="30" t="str">
        <f aca="false">IFERROR(X45/P45,"")</f>
        <v/>
      </c>
      <c r="AC45" s="41"/>
      <c r="AD45" s="41"/>
      <c r="AE45" s="44"/>
    </row>
    <row r="46" customFormat="false" ht="15" hidden="false" customHeight="true" outlineLevel="0" collapsed="false">
      <c r="A46" s="42"/>
      <c r="B46" s="42"/>
      <c r="C46" s="42"/>
      <c r="D46" s="42"/>
      <c r="E46" s="42"/>
      <c r="F46" s="42"/>
      <c r="G46" s="43"/>
      <c r="H46" s="36"/>
      <c r="I46" s="36"/>
      <c r="J46" s="36"/>
      <c r="K46" s="36"/>
      <c r="L46" s="36"/>
      <c r="M46" s="45"/>
      <c r="N46" s="45"/>
      <c r="O46" s="38"/>
      <c r="P46" s="38"/>
      <c r="Q46" s="25" t="str">
        <f aca="false">IF(OR(O46="",P46=""),"",O46-P46)</f>
        <v/>
      </c>
      <c r="R46" s="24"/>
      <c r="S46" s="37"/>
      <c r="T46" s="37"/>
      <c r="U46" s="38"/>
      <c r="V46" s="38"/>
      <c r="W46" s="38"/>
      <c r="X46" s="25" t="str">
        <f aca="false">IF(OR(U46="",V46=""),"",U46+V46)</f>
        <v/>
      </c>
      <c r="Y46" s="39" t="str">
        <f aca="false">IF(OR(O46="",AA46=""),"",O46*AA46)</f>
        <v/>
      </c>
      <c r="Z46" s="40"/>
      <c r="AA46" s="40" t="str">
        <f aca="false">IFERROR(Y46/P46,"")</f>
        <v/>
      </c>
      <c r="AB46" s="30" t="str">
        <f aca="false">IFERROR(X46/P46,"")</f>
        <v/>
      </c>
      <c r="AC46" s="41"/>
      <c r="AD46" s="41"/>
      <c r="AE46" s="44"/>
    </row>
    <row r="47" customFormat="false" ht="15" hidden="false" customHeight="true" outlineLevel="0" collapsed="false">
      <c r="A47" s="42"/>
      <c r="B47" s="42"/>
      <c r="C47" s="42"/>
      <c r="D47" s="42"/>
      <c r="E47" s="42"/>
      <c r="F47" s="42"/>
      <c r="G47" s="43"/>
      <c r="H47" s="36"/>
      <c r="I47" s="36"/>
      <c r="J47" s="36"/>
      <c r="K47" s="36"/>
      <c r="L47" s="36"/>
      <c r="M47" s="45"/>
      <c r="N47" s="45"/>
      <c r="O47" s="38"/>
      <c r="P47" s="38"/>
      <c r="Q47" s="25" t="str">
        <f aca="false">IF(OR(O47="",P47=""),"",O47-P47)</f>
        <v/>
      </c>
      <c r="R47" s="24"/>
      <c r="S47" s="37"/>
      <c r="T47" s="37"/>
      <c r="U47" s="38"/>
      <c r="V47" s="38"/>
      <c r="W47" s="38"/>
      <c r="X47" s="25" t="str">
        <f aca="false">IF(OR(U47="",V47=""),"",U47+V47)</f>
        <v/>
      </c>
      <c r="Y47" s="39" t="str">
        <f aca="false">IF(OR(O47="",AA47=""),"",O47*AA47)</f>
        <v/>
      </c>
      <c r="Z47" s="40"/>
      <c r="AA47" s="40" t="str">
        <f aca="false">IFERROR(Y47/P47,"")</f>
        <v/>
      </c>
      <c r="AB47" s="30" t="str">
        <f aca="false">IFERROR(X47/P47,"")</f>
        <v/>
      </c>
      <c r="AC47" s="41"/>
      <c r="AD47" s="41"/>
      <c r="AE47" s="44"/>
    </row>
    <row r="48" customFormat="false" ht="15" hidden="false" customHeight="true" outlineLevel="0" collapsed="false">
      <c r="A48" s="42"/>
      <c r="B48" s="42"/>
      <c r="C48" s="42"/>
      <c r="D48" s="42"/>
      <c r="E48" s="42"/>
      <c r="F48" s="42"/>
      <c r="G48" s="43"/>
      <c r="H48" s="36"/>
      <c r="I48" s="36"/>
      <c r="J48" s="36"/>
      <c r="K48" s="36"/>
      <c r="L48" s="36"/>
      <c r="M48" s="45"/>
      <c r="N48" s="45"/>
      <c r="O48" s="38"/>
      <c r="P48" s="38"/>
      <c r="Q48" s="25" t="str">
        <f aca="false">IF(OR(O48="",P48=""),"",O48-P48)</f>
        <v/>
      </c>
      <c r="R48" s="24"/>
      <c r="S48" s="37"/>
      <c r="T48" s="37"/>
      <c r="U48" s="38"/>
      <c r="V48" s="38"/>
      <c r="W48" s="38"/>
      <c r="X48" s="25" t="str">
        <f aca="false">IF(OR(U48="",V48=""),"",U48+V48)</f>
        <v/>
      </c>
      <c r="Y48" s="39" t="str">
        <f aca="false">IF(OR(O48="",AA48=""),"",O48*AA48)</f>
        <v/>
      </c>
      <c r="Z48" s="40"/>
      <c r="AA48" s="40" t="str">
        <f aca="false">IFERROR(Y48/P48,"")</f>
        <v/>
      </c>
      <c r="AB48" s="30" t="str">
        <f aca="false">IFERROR(X48/P48,"")</f>
        <v/>
      </c>
      <c r="AC48" s="41"/>
      <c r="AD48" s="41"/>
      <c r="AE48" s="44"/>
    </row>
    <row r="49" customFormat="false" ht="15" hidden="false" customHeight="true" outlineLevel="0" collapsed="false">
      <c r="A49" s="42"/>
      <c r="B49" s="42"/>
      <c r="C49" s="42"/>
      <c r="D49" s="42"/>
      <c r="E49" s="42"/>
      <c r="F49" s="42"/>
      <c r="G49" s="43"/>
      <c r="H49" s="36"/>
      <c r="I49" s="36"/>
      <c r="J49" s="36"/>
      <c r="K49" s="36"/>
      <c r="L49" s="36"/>
      <c r="M49" s="45"/>
      <c r="N49" s="45"/>
      <c r="O49" s="38"/>
      <c r="P49" s="38"/>
      <c r="Q49" s="25" t="str">
        <f aca="false">IF(OR(O49="",P49=""),"",O49-P49)</f>
        <v/>
      </c>
      <c r="R49" s="24"/>
      <c r="S49" s="37"/>
      <c r="T49" s="37"/>
      <c r="U49" s="38"/>
      <c r="V49" s="38"/>
      <c r="W49" s="38"/>
      <c r="X49" s="25" t="str">
        <f aca="false">IF(OR(U49="",V49=""),"",U49+V49)</f>
        <v/>
      </c>
      <c r="Y49" s="39" t="str">
        <f aca="false">IF(OR(O49="",AA49=""),"",O49*AA49)</f>
        <v/>
      </c>
      <c r="Z49" s="40"/>
      <c r="AA49" s="40" t="str">
        <f aca="false">IFERROR(Y49/P49,"")</f>
        <v/>
      </c>
      <c r="AB49" s="30" t="str">
        <f aca="false">IFERROR(X49/P49,"")</f>
        <v/>
      </c>
      <c r="AC49" s="41"/>
      <c r="AD49" s="41"/>
      <c r="AE49" s="44"/>
    </row>
    <row r="50" customFormat="false" ht="15" hidden="false" customHeight="true" outlineLevel="0" collapsed="false">
      <c r="A50" s="42"/>
      <c r="B50" s="42"/>
      <c r="C50" s="42"/>
      <c r="D50" s="42"/>
      <c r="E50" s="42"/>
      <c r="F50" s="42"/>
      <c r="G50" s="43"/>
      <c r="H50" s="36"/>
      <c r="I50" s="36"/>
      <c r="J50" s="36"/>
      <c r="K50" s="36"/>
      <c r="L50" s="36"/>
      <c r="M50" s="45"/>
      <c r="N50" s="45"/>
      <c r="O50" s="38"/>
      <c r="P50" s="38"/>
      <c r="Q50" s="25" t="str">
        <f aca="false">IF(OR(O50="",P50=""),"",O50-P50)</f>
        <v/>
      </c>
      <c r="R50" s="24"/>
      <c r="S50" s="37"/>
      <c r="T50" s="37"/>
      <c r="U50" s="38"/>
      <c r="V50" s="38"/>
      <c r="W50" s="38"/>
      <c r="X50" s="25" t="str">
        <f aca="false">IF(OR(U50="",V50=""),"",U50+V50)</f>
        <v/>
      </c>
      <c r="Y50" s="39" t="str">
        <f aca="false">IF(OR(O50="",AA50=""),"",O50*AA50)</f>
        <v/>
      </c>
      <c r="Z50" s="40"/>
      <c r="AA50" s="40" t="str">
        <f aca="false">IFERROR(Y50/P50,"")</f>
        <v/>
      </c>
      <c r="AB50" s="30" t="str">
        <f aca="false">IFERROR(X50/P50,"")</f>
        <v/>
      </c>
      <c r="AC50" s="41"/>
      <c r="AD50" s="41"/>
      <c r="AE50" s="44"/>
    </row>
    <row r="51" customFormat="false" ht="15" hidden="false" customHeight="true" outlineLevel="0" collapsed="false">
      <c r="A51" s="42"/>
      <c r="B51" s="42"/>
      <c r="C51" s="42"/>
      <c r="D51" s="42"/>
      <c r="E51" s="42"/>
      <c r="F51" s="42"/>
      <c r="G51" s="43"/>
      <c r="H51" s="36"/>
      <c r="I51" s="36"/>
      <c r="J51" s="36"/>
      <c r="K51" s="36"/>
      <c r="L51" s="36"/>
      <c r="M51" s="45"/>
      <c r="N51" s="45"/>
      <c r="O51" s="38"/>
      <c r="P51" s="38"/>
      <c r="Q51" s="25" t="str">
        <f aca="false">IF(OR(O51="",P51=""),"",O51-P51)</f>
        <v/>
      </c>
      <c r="R51" s="24"/>
      <c r="S51" s="37"/>
      <c r="T51" s="37"/>
      <c r="U51" s="38"/>
      <c r="V51" s="38"/>
      <c r="W51" s="38"/>
      <c r="X51" s="25" t="str">
        <f aca="false">IF(OR(U51="",V51=""),"",U51+V51)</f>
        <v/>
      </c>
      <c r="Y51" s="39" t="str">
        <f aca="false">IF(OR(O51="",AA51=""),"",O51*AA51)</f>
        <v/>
      </c>
      <c r="Z51" s="40"/>
      <c r="AA51" s="40" t="str">
        <f aca="false">IFERROR(Y51/P51,"")</f>
        <v/>
      </c>
      <c r="AB51" s="30" t="str">
        <f aca="false">IFERROR(X51/P51,"")</f>
        <v/>
      </c>
      <c r="AC51" s="41"/>
      <c r="AD51" s="41"/>
      <c r="AE51" s="44"/>
    </row>
    <row r="52" customFormat="false" ht="15" hidden="false" customHeight="true" outlineLevel="0" collapsed="false">
      <c r="A52" s="42"/>
      <c r="B52" s="42"/>
      <c r="C52" s="42"/>
      <c r="D52" s="42"/>
      <c r="E52" s="42"/>
      <c r="F52" s="42"/>
      <c r="G52" s="43"/>
      <c r="H52" s="36"/>
      <c r="I52" s="36"/>
      <c r="J52" s="36"/>
      <c r="K52" s="36"/>
      <c r="L52" s="36"/>
      <c r="M52" s="45"/>
      <c r="N52" s="45"/>
      <c r="O52" s="38"/>
      <c r="P52" s="38"/>
      <c r="Q52" s="25" t="str">
        <f aca="false">IF(OR(O52="",P52=""),"",O52-P52)</f>
        <v/>
      </c>
      <c r="R52" s="24"/>
      <c r="S52" s="37"/>
      <c r="T52" s="37"/>
      <c r="U52" s="38"/>
      <c r="V52" s="38"/>
      <c r="W52" s="38"/>
      <c r="X52" s="25" t="str">
        <f aca="false">IF(OR(U52="",V52=""),"",U52+V52)</f>
        <v/>
      </c>
      <c r="Y52" s="39" t="str">
        <f aca="false">IF(OR(O52="",AA52=""),"",O52*AA52)</f>
        <v/>
      </c>
      <c r="Z52" s="40"/>
      <c r="AA52" s="40" t="str">
        <f aca="false">IFERROR(Y52/P52,"")</f>
        <v/>
      </c>
      <c r="AB52" s="30" t="str">
        <f aca="false">IFERROR(X52/P52,"")</f>
        <v/>
      </c>
      <c r="AC52" s="41"/>
      <c r="AD52" s="41"/>
      <c r="AE52" s="44"/>
    </row>
    <row r="53" customFormat="false" ht="15" hidden="false" customHeight="true" outlineLevel="0" collapsed="false">
      <c r="A53" s="42"/>
      <c r="B53" s="42"/>
      <c r="C53" s="42"/>
      <c r="D53" s="42"/>
      <c r="E53" s="42"/>
      <c r="F53" s="42"/>
      <c r="G53" s="43"/>
      <c r="H53" s="36"/>
      <c r="I53" s="36"/>
      <c r="J53" s="36"/>
      <c r="K53" s="36"/>
      <c r="L53" s="36"/>
      <c r="M53" s="45"/>
      <c r="N53" s="45"/>
      <c r="O53" s="38"/>
      <c r="P53" s="38"/>
      <c r="Q53" s="25" t="str">
        <f aca="false">IF(OR(O53="",P53=""),"",O53-P53)</f>
        <v/>
      </c>
      <c r="R53" s="24"/>
      <c r="S53" s="37"/>
      <c r="T53" s="37"/>
      <c r="U53" s="38"/>
      <c r="V53" s="38"/>
      <c r="W53" s="38"/>
      <c r="X53" s="25" t="str">
        <f aca="false">IF(OR(U53="",V53=""),"",U53+V53)</f>
        <v/>
      </c>
      <c r="Y53" s="39" t="str">
        <f aca="false">IF(OR(O53="",AA53=""),"",O53*AA53)</f>
        <v/>
      </c>
      <c r="Z53" s="40"/>
      <c r="AA53" s="40" t="str">
        <f aca="false">IFERROR(Y53/P53,"")</f>
        <v/>
      </c>
      <c r="AB53" s="30" t="str">
        <f aca="false">IFERROR(X53/P53,"")</f>
        <v/>
      </c>
      <c r="AC53" s="41"/>
      <c r="AD53" s="41"/>
      <c r="AE53" s="44"/>
    </row>
    <row r="54" customFormat="false" ht="15" hidden="false" customHeight="true" outlineLevel="0" collapsed="false">
      <c r="A54" s="42"/>
      <c r="B54" s="42"/>
      <c r="C54" s="42"/>
      <c r="D54" s="42"/>
      <c r="E54" s="42"/>
      <c r="F54" s="42"/>
      <c r="G54" s="43"/>
      <c r="H54" s="36"/>
      <c r="I54" s="36"/>
      <c r="J54" s="36"/>
      <c r="K54" s="36"/>
      <c r="L54" s="36"/>
      <c r="M54" s="45"/>
      <c r="N54" s="45"/>
      <c r="O54" s="38"/>
      <c r="P54" s="38"/>
      <c r="Q54" s="25" t="str">
        <f aca="false">IF(OR(O54="",P54=""),"",O54-P54)</f>
        <v/>
      </c>
      <c r="R54" s="24"/>
      <c r="S54" s="37"/>
      <c r="T54" s="37"/>
      <c r="U54" s="38"/>
      <c r="V54" s="38"/>
      <c r="W54" s="38"/>
      <c r="X54" s="25" t="str">
        <f aca="false">IF(OR(U54="",V54=""),"",U54+V54)</f>
        <v/>
      </c>
      <c r="Y54" s="39" t="str">
        <f aca="false">IF(OR(O54="",AA54=""),"",O54*AA54)</f>
        <v/>
      </c>
      <c r="Z54" s="40"/>
      <c r="AA54" s="40" t="str">
        <f aca="false">IFERROR(Y54/P54,"")</f>
        <v/>
      </c>
      <c r="AB54" s="30" t="str">
        <f aca="false">IFERROR(X54/P54,"")</f>
        <v/>
      </c>
      <c r="AC54" s="41"/>
      <c r="AD54" s="41"/>
      <c r="AE54" s="44"/>
    </row>
    <row r="55" customFormat="false" ht="15" hidden="false" customHeight="true" outlineLevel="0" collapsed="false">
      <c r="A55" s="42"/>
      <c r="B55" s="42"/>
      <c r="C55" s="42"/>
      <c r="D55" s="42"/>
      <c r="E55" s="42"/>
      <c r="F55" s="42"/>
      <c r="G55" s="43"/>
      <c r="H55" s="36"/>
      <c r="I55" s="36"/>
      <c r="J55" s="36"/>
      <c r="K55" s="36"/>
      <c r="L55" s="36"/>
      <c r="M55" s="45"/>
      <c r="N55" s="45"/>
      <c r="O55" s="38"/>
      <c r="P55" s="38"/>
      <c r="Q55" s="25" t="str">
        <f aca="false">IF(OR(O55="",P55=""),"",O55-P55)</f>
        <v/>
      </c>
      <c r="R55" s="24"/>
      <c r="S55" s="37"/>
      <c r="T55" s="37"/>
      <c r="U55" s="38"/>
      <c r="V55" s="38"/>
      <c r="W55" s="38"/>
      <c r="X55" s="25" t="str">
        <f aca="false">IF(OR(U55="",V55=""),"",U55+V55)</f>
        <v/>
      </c>
      <c r="Y55" s="39" t="str">
        <f aca="false">IF(OR(O55="",AA55=""),"",O55*AA55)</f>
        <v/>
      </c>
      <c r="Z55" s="40"/>
      <c r="AA55" s="40" t="str">
        <f aca="false">IFERROR(Y55/P55,"")</f>
        <v/>
      </c>
      <c r="AB55" s="30" t="str">
        <f aca="false">IFERROR(X55/P55,"")</f>
        <v/>
      </c>
      <c r="AC55" s="41"/>
      <c r="AD55" s="41"/>
      <c r="AE55" s="44"/>
    </row>
    <row r="56" customFormat="false" ht="15" hidden="false" customHeight="true" outlineLevel="0" collapsed="false">
      <c r="A56" s="42"/>
      <c r="B56" s="42"/>
      <c r="C56" s="42"/>
      <c r="D56" s="42"/>
      <c r="E56" s="42"/>
      <c r="F56" s="42"/>
      <c r="G56" s="43"/>
      <c r="H56" s="36"/>
      <c r="I56" s="36"/>
      <c r="J56" s="36"/>
      <c r="K56" s="36"/>
      <c r="L56" s="36"/>
      <c r="M56" s="45"/>
      <c r="N56" s="45"/>
      <c r="O56" s="38"/>
      <c r="P56" s="38"/>
      <c r="Q56" s="25" t="str">
        <f aca="false">IF(OR(O56="",P56=""),"",O56-P56)</f>
        <v/>
      </c>
      <c r="R56" s="24"/>
      <c r="S56" s="37"/>
      <c r="T56" s="37"/>
      <c r="U56" s="38"/>
      <c r="V56" s="38"/>
      <c r="W56" s="38"/>
      <c r="X56" s="25" t="str">
        <f aca="false">IF(OR(U56="",V56=""),"",U56+V56)</f>
        <v/>
      </c>
      <c r="Y56" s="39" t="str">
        <f aca="false">IF(OR(O56="",AA56=""),"",O56*AA56)</f>
        <v/>
      </c>
      <c r="Z56" s="40"/>
      <c r="AA56" s="40" t="str">
        <f aca="false">IFERROR(Y56/P56,"")</f>
        <v/>
      </c>
      <c r="AB56" s="30" t="str">
        <f aca="false">IFERROR(X56/P56,"")</f>
        <v/>
      </c>
      <c r="AC56" s="41"/>
      <c r="AD56" s="41"/>
      <c r="AE56" s="44"/>
    </row>
    <row r="57" customFormat="false" ht="15" hidden="false" customHeight="true" outlineLevel="0" collapsed="false">
      <c r="A57" s="42"/>
      <c r="B57" s="42"/>
      <c r="C57" s="42"/>
      <c r="D57" s="42"/>
      <c r="E57" s="42"/>
      <c r="F57" s="42"/>
      <c r="G57" s="43"/>
      <c r="H57" s="36"/>
      <c r="I57" s="36"/>
      <c r="J57" s="36"/>
      <c r="K57" s="36"/>
      <c r="L57" s="36"/>
      <c r="M57" s="45"/>
      <c r="N57" s="45"/>
      <c r="O57" s="38"/>
      <c r="P57" s="38"/>
      <c r="Q57" s="25" t="str">
        <f aca="false">IF(OR(O57="",P57=""),"",O57-P57)</f>
        <v/>
      </c>
      <c r="R57" s="24"/>
      <c r="S57" s="37"/>
      <c r="T57" s="37"/>
      <c r="U57" s="38"/>
      <c r="V57" s="38"/>
      <c r="W57" s="38"/>
      <c r="X57" s="25" t="str">
        <f aca="false">IF(OR(U57="",V57=""),"",U57+V57)</f>
        <v/>
      </c>
      <c r="Y57" s="39" t="str">
        <f aca="false">IF(OR(O57="",AA57=""),"",O57*AA57)</f>
        <v/>
      </c>
      <c r="Z57" s="40"/>
      <c r="AA57" s="40"/>
      <c r="AB57" s="30" t="str">
        <f aca="false">IFERROR(X57/P57,"")</f>
        <v/>
      </c>
      <c r="AC57" s="41"/>
      <c r="AD57" s="41"/>
      <c r="AE57" s="44"/>
    </row>
    <row r="58" customFormat="false" ht="15" hidden="false" customHeight="true" outlineLevel="0" collapsed="false">
      <c r="A58" s="42"/>
      <c r="B58" s="42"/>
      <c r="C58" s="42"/>
      <c r="D58" s="42"/>
      <c r="E58" s="42"/>
      <c r="F58" s="42"/>
      <c r="G58" s="43"/>
      <c r="H58" s="36"/>
      <c r="I58" s="36"/>
      <c r="J58" s="36"/>
      <c r="K58" s="36"/>
      <c r="L58" s="36"/>
      <c r="M58" s="45"/>
      <c r="N58" s="45"/>
      <c r="O58" s="38"/>
      <c r="P58" s="38"/>
      <c r="Q58" s="25" t="str">
        <f aca="false">IF(OR(O58="",P58=""),"",O58-P58)</f>
        <v/>
      </c>
      <c r="R58" s="24"/>
      <c r="S58" s="37"/>
      <c r="T58" s="37"/>
      <c r="U58" s="38"/>
      <c r="V58" s="38"/>
      <c r="W58" s="38"/>
      <c r="X58" s="25" t="str">
        <f aca="false">IF(OR(U58="",V58=""),"",U58+V58)</f>
        <v/>
      </c>
      <c r="Y58" s="39" t="str">
        <f aca="false">IF(OR(O58="",AA58=""),"",O58*AA58)</f>
        <v/>
      </c>
      <c r="Z58" s="40"/>
      <c r="AA58" s="40"/>
      <c r="AB58" s="30" t="str">
        <f aca="false">IFERROR(X58/P58,"")</f>
        <v/>
      </c>
      <c r="AC58" s="41"/>
      <c r="AD58" s="41"/>
      <c r="AE58" s="44"/>
    </row>
    <row r="59" customFormat="false" ht="15" hidden="false" customHeight="true" outlineLevel="0" collapsed="false">
      <c r="A59" s="42"/>
      <c r="B59" s="42"/>
      <c r="C59" s="42"/>
      <c r="D59" s="42"/>
      <c r="E59" s="42"/>
      <c r="F59" s="42"/>
      <c r="G59" s="43"/>
      <c r="H59" s="36"/>
      <c r="I59" s="36"/>
      <c r="J59" s="36"/>
      <c r="K59" s="36"/>
      <c r="L59" s="36"/>
      <c r="M59" s="45"/>
      <c r="N59" s="45"/>
      <c r="O59" s="38"/>
      <c r="P59" s="38"/>
      <c r="Q59" s="25" t="str">
        <f aca="false">IF(OR(O59="",P59=""),"",O59-P59)</f>
        <v/>
      </c>
      <c r="R59" s="24"/>
      <c r="S59" s="37"/>
      <c r="T59" s="37"/>
      <c r="U59" s="38"/>
      <c r="V59" s="38"/>
      <c r="W59" s="38"/>
      <c r="X59" s="25" t="str">
        <f aca="false">IF(OR(U59="",V59=""),"",U59+V59)</f>
        <v/>
      </c>
      <c r="Y59" s="39" t="str">
        <f aca="false">IF(OR(O59="",AA59=""),"",O59*AA59)</f>
        <v/>
      </c>
      <c r="Z59" s="40"/>
      <c r="AA59" s="40"/>
      <c r="AB59" s="30" t="str">
        <f aca="false">IFERROR(X59/P59,"")</f>
        <v/>
      </c>
      <c r="AC59" s="41"/>
      <c r="AD59" s="41"/>
      <c r="AE59" s="44"/>
    </row>
    <row r="60" customFormat="false" ht="15" hidden="false" customHeight="true" outlineLevel="0" collapsed="false">
      <c r="A60" s="42"/>
      <c r="B60" s="42"/>
      <c r="C60" s="42"/>
      <c r="D60" s="42"/>
      <c r="E60" s="42"/>
      <c r="F60" s="42"/>
      <c r="G60" s="43"/>
      <c r="H60" s="36"/>
      <c r="I60" s="36"/>
      <c r="J60" s="36"/>
      <c r="K60" s="36"/>
      <c r="L60" s="36"/>
      <c r="M60" s="45"/>
      <c r="N60" s="45"/>
      <c r="O60" s="38"/>
      <c r="P60" s="38"/>
      <c r="Q60" s="25" t="str">
        <f aca="false">IF(OR(O60="",P60=""),"",O60-P60)</f>
        <v/>
      </c>
      <c r="R60" s="24"/>
      <c r="S60" s="37"/>
      <c r="T60" s="37"/>
      <c r="U60" s="38"/>
      <c r="V60" s="38"/>
      <c r="W60" s="38"/>
      <c r="X60" s="25" t="str">
        <f aca="false">IF(OR(U60="",V60=""),"",U60+V60)</f>
        <v/>
      </c>
      <c r="Y60" s="39" t="str">
        <f aca="false">IF(OR(O60="",AA60=""),"",O60*AA60)</f>
        <v/>
      </c>
      <c r="Z60" s="40"/>
      <c r="AA60" s="40"/>
      <c r="AB60" s="30" t="str">
        <f aca="false">IFERROR(X60/P60,"")</f>
        <v/>
      </c>
      <c r="AC60" s="41"/>
      <c r="AD60" s="41"/>
      <c r="AE60" s="44"/>
    </row>
    <row r="61" customFormat="false" ht="15" hidden="false" customHeight="true" outlineLevel="0" collapsed="false">
      <c r="A61" s="42"/>
      <c r="B61" s="42"/>
      <c r="C61" s="42"/>
      <c r="D61" s="42"/>
      <c r="E61" s="42"/>
      <c r="F61" s="42"/>
      <c r="G61" s="43"/>
      <c r="H61" s="36"/>
      <c r="I61" s="36"/>
      <c r="J61" s="36"/>
      <c r="K61" s="36"/>
      <c r="L61" s="36"/>
      <c r="M61" s="45"/>
      <c r="N61" s="45"/>
      <c r="O61" s="38"/>
      <c r="P61" s="38"/>
      <c r="Q61" s="25" t="str">
        <f aca="false">IF(OR(O61="",P61=""),"",O61-P61)</f>
        <v/>
      </c>
      <c r="R61" s="24"/>
      <c r="S61" s="37"/>
      <c r="T61" s="37"/>
      <c r="U61" s="38"/>
      <c r="V61" s="38"/>
      <c r="W61" s="38"/>
      <c r="X61" s="25" t="str">
        <f aca="false">IF(OR(U61="",V61=""),"",U61+V61)</f>
        <v/>
      </c>
      <c r="Y61" s="39" t="str">
        <f aca="false">IF(OR(O61="",AA61=""),"",O61*AA61)</f>
        <v/>
      </c>
      <c r="Z61" s="40"/>
      <c r="AA61" s="40"/>
      <c r="AB61" s="30" t="str">
        <f aca="false">IFERROR(X61/P61,"")</f>
        <v/>
      </c>
      <c r="AC61" s="41"/>
      <c r="AD61" s="41"/>
      <c r="AE61" s="44"/>
    </row>
    <row r="62" customFormat="false" ht="15" hidden="false" customHeight="true" outlineLevel="0" collapsed="false">
      <c r="A62" s="42"/>
      <c r="B62" s="42"/>
      <c r="C62" s="42"/>
      <c r="D62" s="42"/>
      <c r="E62" s="42"/>
      <c r="F62" s="42"/>
      <c r="G62" s="43"/>
      <c r="H62" s="36"/>
      <c r="I62" s="36"/>
      <c r="J62" s="36"/>
      <c r="K62" s="36"/>
      <c r="L62" s="36"/>
      <c r="M62" s="45"/>
      <c r="N62" s="45"/>
      <c r="O62" s="38"/>
      <c r="P62" s="38"/>
      <c r="Q62" s="25" t="str">
        <f aca="false">IF(OR(O62="",P62=""),"",O62-P62)</f>
        <v/>
      </c>
      <c r="R62" s="24"/>
      <c r="S62" s="37"/>
      <c r="T62" s="37"/>
      <c r="U62" s="38"/>
      <c r="V62" s="38"/>
      <c r="W62" s="38"/>
      <c r="X62" s="25" t="str">
        <f aca="false">IF(OR(U62="",V62=""),"",U62+V62)</f>
        <v/>
      </c>
      <c r="Y62" s="39" t="str">
        <f aca="false">IF(OR(O62="",AA62=""),"",O62*AA62)</f>
        <v/>
      </c>
      <c r="Z62" s="40"/>
      <c r="AA62" s="40"/>
      <c r="AB62" s="30" t="str">
        <f aca="false">IFERROR(X62/P62,"")</f>
        <v/>
      </c>
      <c r="AC62" s="41"/>
      <c r="AD62" s="41"/>
      <c r="AE62" s="44"/>
    </row>
    <row r="63" customFormat="false" ht="15" hidden="false" customHeight="true" outlineLevel="0" collapsed="false">
      <c r="A63" s="42"/>
      <c r="B63" s="42"/>
      <c r="C63" s="42"/>
      <c r="D63" s="42"/>
      <c r="E63" s="42"/>
      <c r="F63" s="42"/>
      <c r="G63" s="43"/>
      <c r="H63" s="36"/>
      <c r="I63" s="36"/>
      <c r="J63" s="36"/>
      <c r="K63" s="36"/>
      <c r="L63" s="36"/>
      <c r="M63" s="45"/>
      <c r="N63" s="45"/>
      <c r="O63" s="38"/>
      <c r="P63" s="38"/>
      <c r="Q63" s="25" t="str">
        <f aca="false">IF(OR(O63="",P63=""),"",O63-P63)</f>
        <v/>
      </c>
      <c r="R63" s="24"/>
      <c r="S63" s="37"/>
      <c r="T63" s="37"/>
      <c r="U63" s="38"/>
      <c r="V63" s="38"/>
      <c r="W63" s="38"/>
      <c r="X63" s="25" t="str">
        <f aca="false">IF(OR(U63="",V63=""),"",U63+V63)</f>
        <v/>
      </c>
      <c r="Y63" s="39" t="str">
        <f aca="false">IF(OR(O63="",AA63=""),"",O63*AA63)</f>
        <v/>
      </c>
      <c r="Z63" s="40"/>
      <c r="AA63" s="40"/>
      <c r="AB63" s="30" t="str">
        <f aca="false">IFERROR(X63/P63,"")</f>
        <v/>
      </c>
      <c r="AC63" s="41"/>
      <c r="AD63" s="41"/>
      <c r="AE63" s="44"/>
    </row>
    <row r="64" customFormat="false" ht="15" hidden="false" customHeight="true" outlineLevel="0" collapsed="false">
      <c r="A64" s="42"/>
      <c r="B64" s="42"/>
      <c r="C64" s="42"/>
      <c r="D64" s="42"/>
      <c r="E64" s="42"/>
      <c r="F64" s="42"/>
      <c r="G64" s="43"/>
      <c r="H64" s="36"/>
      <c r="I64" s="36"/>
      <c r="J64" s="36"/>
      <c r="K64" s="36"/>
      <c r="L64" s="36"/>
      <c r="M64" s="45"/>
      <c r="N64" s="45"/>
      <c r="O64" s="38"/>
      <c r="P64" s="38"/>
      <c r="Q64" s="25" t="str">
        <f aca="false">IF(OR(O64="",P64=""),"",O64-P64)</f>
        <v/>
      </c>
      <c r="R64" s="24"/>
      <c r="S64" s="37"/>
      <c r="T64" s="37"/>
      <c r="U64" s="38"/>
      <c r="V64" s="38"/>
      <c r="W64" s="38"/>
      <c r="X64" s="25" t="str">
        <f aca="false">IF(OR(U64="",V64=""),"",U64+V64)</f>
        <v/>
      </c>
      <c r="Y64" s="39" t="str">
        <f aca="false">IF(OR(O64="",AA64=""),"",O64*AA64)</f>
        <v/>
      </c>
      <c r="Z64" s="40"/>
      <c r="AA64" s="40"/>
      <c r="AB64" s="30" t="str">
        <f aca="false">IFERROR(X64/P64,"")</f>
        <v/>
      </c>
      <c r="AC64" s="41"/>
      <c r="AD64" s="41"/>
      <c r="AE64" s="44"/>
    </row>
    <row r="65" customFormat="false" ht="15" hidden="false" customHeight="true" outlineLevel="0" collapsed="false">
      <c r="A65" s="42"/>
      <c r="B65" s="42"/>
      <c r="C65" s="42"/>
      <c r="D65" s="42"/>
      <c r="E65" s="42"/>
      <c r="F65" s="42"/>
      <c r="G65" s="43"/>
      <c r="H65" s="36"/>
      <c r="I65" s="36"/>
      <c r="J65" s="36"/>
      <c r="K65" s="36"/>
      <c r="L65" s="36"/>
      <c r="M65" s="45"/>
      <c r="N65" s="45"/>
      <c r="O65" s="38"/>
      <c r="P65" s="38"/>
      <c r="Q65" s="25" t="str">
        <f aca="false">IF(OR(O65="",P65=""),"",O65-P65)</f>
        <v/>
      </c>
      <c r="R65" s="24"/>
      <c r="S65" s="37"/>
      <c r="T65" s="37"/>
      <c r="U65" s="38"/>
      <c r="V65" s="38"/>
      <c r="W65" s="38"/>
      <c r="X65" s="25" t="str">
        <f aca="false">IF(OR(U65="",V65=""),"",U65+V65)</f>
        <v/>
      </c>
      <c r="Y65" s="39" t="str">
        <f aca="false">IF(OR(O65="",AA65=""),"",O65*AA65)</f>
        <v/>
      </c>
      <c r="Z65" s="40"/>
      <c r="AA65" s="40"/>
      <c r="AB65" s="30" t="str">
        <f aca="false">IFERROR(X65/P65,"")</f>
        <v/>
      </c>
      <c r="AC65" s="41"/>
      <c r="AD65" s="41"/>
      <c r="AE65" s="44"/>
    </row>
    <row r="66" customFormat="false" ht="15" hidden="false" customHeight="true" outlineLevel="0" collapsed="false">
      <c r="A66" s="42"/>
      <c r="B66" s="42"/>
      <c r="C66" s="42"/>
      <c r="D66" s="42"/>
      <c r="E66" s="42"/>
      <c r="F66" s="42"/>
      <c r="G66" s="43"/>
      <c r="H66" s="36"/>
      <c r="I66" s="36"/>
      <c r="J66" s="36"/>
      <c r="K66" s="36"/>
      <c r="L66" s="36"/>
      <c r="M66" s="45"/>
      <c r="N66" s="45"/>
      <c r="O66" s="38"/>
      <c r="P66" s="38"/>
      <c r="Q66" s="25" t="str">
        <f aca="false">IF(OR(O66="",P66=""),"",O66-P66)</f>
        <v/>
      </c>
      <c r="R66" s="24"/>
      <c r="S66" s="37"/>
      <c r="T66" s="37"/>
      <c r="U66" s="38"/>
      <c r="V66" s="38"/>
      <c r="W66" s="38"/>
      <c r="X66" s="25" t="str">
        <f aca="false">IF(OR(U66="",V66=""),"",U66+V66)</f>
        <v/>
      </c>
      <c r="Y66" s="39" t="str">
        <f aca="false">IF(OR(O66="",AA66=""),"",O66*AA66)</f>
        <v/>
      </c>
      <c r="Z66" s="40"/>
      <c r="AA66" s="40"/>
      <c r="AB66" s="30" t="str">
        <f aca="false">IFERROR(X66/P66,"")</f>
        <v/>
      </c>
      <c r="AC66" s="41"/>
      <c r="AD66" s="41"/>
      <c r="AE66" s="44"/>
    </row>
    <row r="67" customFormat="false" ht="15" hidden="false" customHeight="true" outlineLevel="0" collapsed="false">
      <c r="A67" s="42"/>
      <c r="B67" s="42"/>
      <c r="C67" s="42"/>
      <c r="D67" s="42"/>
      <c r="E67" s="42"/>
      <c r="F67" s="42"/>
      <c r="G67" s="43"/>
      <c r="H67" s="36"/>
      <c r="I67" s="36"/>
      <c r="J67" s="36"/>
      <c r="K67" s="36"/>
      <c r="L67" s="36"/>
      <c r="M67" s="45"/>
      <c r="N67" s="45"/>
      <c r="O67" s="38"/>
      <c r="P67" s="38"/>
      <c r="Q67" s="25" t="str">
        <f aca="false">IF(OR(O67="",P67=""),"",O67-P67)</f>
        <v/>
      </c>
      <c r="R67" s="24"/>
      <c r="S67" s="37"/>
      <c r="T67" s="37"/>
      <c r="U67" s="38"/>
      <c r="V67" s="38"/>
      <c r="W67" s="38"/>
      <c r="X67" s="25" t="str">
        <f aca="false">IF(OR(U67="",V67=""),"",U67+V67)</f>
        <v/>
      </c>
      <c r="Y67" s="39" t="str">
        <f aca="false">IF(OR(O67="",AA67=""),"",O67*AA67)</f>
        <v/>
      </c>
      <c r="Z67" s="40"/>
      <c r="AA67" s="40"/>
      <c r="AB67" s="30" t="str">
        <f aca="false">IFERROR(X67/P67,"")</f>
        <v/>
      </c>
      <c r="AC67" s="41"/>
      <c r="AD67" s="41"/>
      <c r="AE67" s="44"/>
    </row>
    <row r="68" customFormat="false" ht="15" hidden="false" customHeight="true" outlineLevel="0" collapsed="false">
      <c r="A68" s="42"/>
      <c r="B68" s="42"/>
      <c r="C68" s="42"/>
      <c r="D68" s="42"/>
      <c r="E68" s="42"/>
      <c r="F68" s="42"/>
      <c r="G68" s="43"/>
      <c r="H68" s="36"/>
      <c r="I68" s="36"/>
      <c r="J68" s="36"/>
      <c r="K68" s="36"/>
      <c r="L68" s="36"/>
      <c r="M68" s="45"/>
      <c r="N68" s="45"/>
      <c r="O68" s="38"/>
      <c r="P68" s="38"/>
      <c r="Q68" s="25" t="str">
        <f aca="false">IF(OR(O68="",P68=""),"",O68-P68)</f>
        <v/>
      </c>
      <c r="R68" s="24"/>
      <c r="S68" s="37"/>
      <c r="T68" s="37"/>
      <c r="U68" s="38"/>
      <c r="V68" s="38"/>
      <c r="W68" s="38"/>
      <c r="X68" s="25" t="str">
        <f aca="false">IF(OR(U68="",V68=""),"",U68+V68)</f>
        <v/>
      </c>
      <c r="Y68" s="39" t="str">
        <f aca="false">IF(OR(O68="",AA68=""),"",O68*AA68)</f>
        <v/>
      </c>
      <c r="Z68" s="40"/>
      <c r="AA68" s="40"/>
      <c r="AB68" s="30" t="str">
        <f aca="false">IFERROR(X68/P68,"")</f>
        <v/>
      </c>
      <c r="AC68" s="41"/>
      <c r="AD68" s="41"/>
      <c r="AE68" s="44"/>
    </row>
    <row r="69" customFormat="false" ht="15" hidden="false" customHeight="true" outlineLevel="0" collapsed="false">
      <c r="A69" s="42"/>
      <c r="B69" s="42"/>
      <c r="C69" s="42"/>
      <c r="D69" s="42"/>
      <c r="E69" s="42"/>
      <c r="F69" s="42"/>
      <c r="G69" s="43"/>
      <c r="H69" s="36"/>
      <c r="I69" s="36"/>
      <c r="J69" s="36"/>
      <c r="K69" s="36"/>
      <c r="L69" s="36"/>
      <c r="M69" s="45"/>
      <c r="N69" s="45"/>
      <c r="O69" s="38"/>
      <c r="P69" s="38"/>
      <c r="Q69" s="25" t="str">
        <f aca="false">IF(OR(O69="",P69=""),"",O69-P69)</f>
        <v/>
      </c>
      <c r="R69" s="24"/>
      <c r="S69" s="37"/>
      <c r="T69" s="37"/>
      <c r="U69" s="38"/>
      <c r="V69" s="38"/>
      <c r="W69" s="38"/>
      <c r="X69" s="25" t="str">
        <f aca="false">IF(OR(U69="",V69=""),"",U69+V69)</f>
        <v/>
      </c>
      <c r="Y69" s="39" t="str">
        <f aca="false">IF(OR(O69="",AA69=""),"",O69*AA69)</f>
        <v/>
      </c>
      <c r="Z69" s="40"/>
      <c r="AA69" s="40"/>
      <c r="AB69" s="30" t="str">
        <f aca="false">IFERROR(X69/P69,"")</f>
        <v/>
      </c>
      <c r="AC69" s="41"/>
      <c r="AD69" s="41"/>
      <c r="AE69" s="44"/>
    </row>
    <row r="70" customFormat="false" ht="15" hidden="false" customHeight="true" outlineLevel="0" collapsed="false">
      <c r="A70" s="42"/>
      <c r="B70" s="42"/>
      <c r="C70" s="42"/>
      <c r="D70" s="42"/>
      <c r="E70" s="42"/>
      <c r="F70" s="42"/>
      <c r="G70" s="43"/>
      <c r="H70" s="36"/>
      <c r="I70" s="36"/>
      <c r="J70" s="36"/>
      <c r="K70" s="36"/>
      <c r="L70" s="36"/>
      <c r="M70" s="45"/>
      <c r="N70" s="45"/>
      <c r="O70" s="38"/>
      <c r="P70" s="38"/>
      <c r="Q70" s="25" t="str">
        <f aca="false">IF(OR(O70="",P70=""),"",O70-P70)</f>
        <v/>
      </c>
      <c r="R70" s="24"/>
      <c r="S70" s="37"/>
      <c r="T70" s="37"/>
      <c r="U70" s="38"/>
      <c r="V70" s="38"/>
      <c r="W70" s="38"/>
      <c r="X70" s="25" t="str">
        <f aca="false">IF(OR(U70="",V70=""),"",U70+V70)</f>
        <v/>
      </c>
      <c r="Y70" s="39" t="str">
        <f aca="false">IF(OR(O70="",AA70=""),"",O70*AA70)</f>
        <v/>
      </c>
      <c r="Z70" s="40"/>
      <c r="AA70" s="40"/>
      <c r="AB70" s="30" t="str">
        <f aca="false">IFERROR(X70/P70,"")</f>
        <v/>
      </c>
      <c r="AC70" s="41"/>
      <c r="AD70" s="41"/>
      <c r="AE70" s="44"/>
    </row>
    <row r="71" customFormat="false" ht="15" hidden="false" customHeight="true" outlineLevel="0" collapsed="false">
      <c r="A71" s="42"/>
      <c r="B71" s="42"/>
      <c r="C71" s="42"/>
      <c r="D71" s="42"/>
      <c r="E71" s="42"/>
      <c r="F71" s="42"/>
      <c r="G71" s="43"/>
      <c r="H71" s="36"/>
      <c r="I71" s="36"/>
      <c r="J71" s="36"/>
      <c r="K71" s="36"/>
      <c r="L71" s="36"/>
      <c r="M71" s="45"/>
      <c r="N71" s="45"/>
      <c r="O71" s="38"/>
      <c r="P71" s="38"/>
      <c r="Q71" s="25" t="str">
        <f aca="false">IF(OR(O71="",P71=""),"",O71-P71)</f>
        <v/>
      </c>
      <c r="R71" s="24"/>
      <c r="S71" s="37"/>
      <c r="T71" s="37"/>
      <c r="U71" s="38"/>
      <c r="V71" s="38"/>
      <c r="W71" s="38"/>
      <c r="X71" s="25" t="str">
        <f aca="false">IF(OR(U71="",V71=""),"",U71+V71)</f>
        <v/>
      </c>
      <c r="Y71" s="39" t="str">
        <f aca="false">IF(OR(O71="",AA71=""),"",O71*AA71)</f>
        <v/>
      </c>
      <c r="Z71" s="40"/>
      <c r="AA71" s="40"/>
      <c r="AB71" s="30" t="str">
        <f aca="false">IFERROR(X71/P71,"")</f>
        <v/>
      </c>
      <c r="AC71" s="41"/>
      <c r="AD71" s="41"/>
      <c r="AE71" s="44"/>
    </row>
    <row r="72" customFormat="false" ht="15" hidden="false" customHeight="true" outlineLevel="0" collapsed="false">
      <c r="A72" s="42"/>
      <c r="B72" s="42"/>
      <c r="C72" s="42"/>
      <c r="D72" s="42"/>
      <c r="E72" s="42"/>
      <c r="F72" s="42"/>
      <c r="G72" s="43"/>
      <c r="H72" s="36"/>
      <c r="I72" s="36"/>
      <c r="J72" s="36"/>
      <c r="K72" s="36"/>
      <c r="L72" s="36"/>
      <c r="M72" s="45"/>
      <c r="N72" s="45"/>
      <c r="O72" s="38"/>
      <c r="P72" s="38"/>
      <c r="Q72" s="25" t="str">
        <f aca="false">IF(OR(O72="",P72=""),"",O72-P72)</f>
        <v/>
      </c>
      <c r="R72" s="24"/>
      <c r="S72" s="37"/>
      <c r="T72" s="37"/>
      <c r="U72" s="38"/>
      <c r="V72" s="38"/>
      <c r="W72" s="38"/>
      <c r="X72" s="25" t="str">
        <f aca="false">IF(OR(U72="",V72=""),"",U72+V72)</f>
        <v/>
      </c>
      <c r="Y72" s="39" t="str">
        <f aca="false">IF(OR(O72="",AA72=""),"",O72*AA72)</f>
        <v/>
      </c>
      <c r="Z72" s="40"/>
      <c r="AA72" s="40"/>
      <c r="AB72" s="30" t="str">
        <f aca="false">IFERROR(X72/P72,"")</f>
        <v/>
      </c>
      <c r="AC72" s="41"/>
      <c r="AD72" s="41"/>
      <c r="AE72" s="44"/>
    </row>
    <row r="73" customFormat="false" ht="15" hidden="false" customHeight="true" outlineLevel="0" collapsed="false">
      <c r="A73" s="42"/>
      <c r="B73" s="42"/>
      <c r="C73" s="42"/>
      <c r="D73" s="42"/>
      <c r="E73" s="42"/>
      <c r="F73" s="42"/>
      <c r="G73" s="43"/>
      <c r="H73" s="36"/>
      <c r="I73" s="36"/>
      <c r="J73" s="36"/>
      <c r="K73" s="36"/>
      <c r="L73" s="36"/>
      <c r="M73" s="45"/>
      <c r="N73" s="45"/>
      <c r="O73" s="38"/>
      <c r="P73" s="38"/>
      <c r="Q73" s="25" t="str">
        <f aca="false">IF(OR(O73="",P73=""),"",O73-P73)</f>
        <v/>
      </c>
      <c r="R73" s="24"/>
      <c r="S73" s="37"/>
      <c r="T73" s="37"/>
      <c r="U73" s="38"/>
      <c r="V73" s="38"/>
      <c r="W73" s="38"/>
      <c r="X73" s="25" t="str">
        <f aca="false">IF(OR(U73="",V73=""),"",U73+V73)</f>
        <v/>
      </c>
      <c r="Y73" s="39" t="str">
        <f aca="false">IF(OR(O73="",AA73=""),"",O73*AA73)</f>
        <v/>
      </c>
      <c r="Z73" s="40"/>
      <c r="AA73" s="40"/>
      <c r="AB73" s="30" t="str">
        <f aca="false">IFERROR(X73/P73,"")</f>
        <v/>
      </c>
      <c r="AC73" s="41"/>
      <c r="AD73" s="41"/>
      <c r="AE73" s="44"/>
    </row>
    <row r="74" customFormat="false" ht="15" hidden="false" customHeight="true" outlineLevel="0" collapsed="false">
      <c r="A74" s="42"/>
      <c r="B74" s="42"/>
      <c r="C74" s="42"/>
      <c r="D74" s="42"/>
      <c r="E74" s="42"/>
      <c r="F74" s="42"/>
      <c r="G74" s="43"/>
      <c r="H74" s="36"/>
      <c r="I74" s="36"/>
      <c r="J74" s="36"/>
      <c r="K74" s="36"/>
      <c r="L74" s="36"/>
      <c r="M74" s="45"/>
      <c r="N74" s="45"/>
      <c r="O74" s="38"/>
      <c r="P74" s="38"/>
      <c r="Q74" s="25" t="str">
        <f aca="false">IF(OR(O74="",P74=""),"",O74-P74)</f>
        <v/>
      </c>
      <c r="R74" s="24"/>
      <c r="S74" s="37"/>
      <c r="T74" s="37"/>
      <c r="U74" s="38"/>
      <c r="V74" s="38"/>
      <c r="W74" s="38"/>
      <c r="X74" s="25" t="str">
        <f aca="false">IF(OR(U74="",V74=""),"",U74+V74)</f>
        <v/>
      </c>
      <c r="Y74" s="39" t="str">
        <f aca="false">IF(OR(O74="",AA74=""),"",O74*AA74)</f>
        <v/>
      </c>
      <c r="Z74" s="40"/>
      <c r="AA74" s="40"/>
      <c r="AB74" s="30" t="str">
        <f aca="false">IFERROR(X74/P74,"")</f>
        <v/>
      </c>
      <c r="AC74" s="41"/>
      <c r="AD74" s="41"/>
      <c r="AE74" s="44"/>
    </row>
    <row r="75" customFormat="false" ht="15" hidden="false" customHeight="true" outlineLevel="0" collapsed="false">
      <c r="A75" s="42"/>
      <c r="B75" s="42"/>
      <c r="C75" s="42"/>
      <c r="D75" s="42"/>
      <c r="E75" s="42"/>
      <c r="F75" s="42"/>
      <c r="G75" s="43"/>
      <c r="H75" s="36"/>
      <c r="I75" s="36"/>
      <c r="J75" s="36"/>
      <c r="K75" s="36"/>
      <c r="L75" s="36"/>
      <c r="M75" s="45"/>
      <c r="N75" s="45"/>
      <c r="O75" s="38"/>
      <c r="P75" s="38"/>
      <c r="Q75" s="25" t="str">
        <f aca="false">IF(OR(O75="",P75=""),"",O75-P75)</f>
        <v/>
      </c>
      <c r="R75" s="24"/>
      <c r="S75" s="37"/>
      <c r="T75" s="37"/>
      <c r="U75" s="38"/>
      <c r="V75" s="38"/>
      <c r="W75" s="38"/>
      <c r="X75" s="25" t="str">
        <f aca="false">IF(OR(U75="",V75=""),"",U75+V75)</f>
        <v/>
      </c>
      <c r="Y75" s="39" t="str">
        <f aca="false">IF(OR(O75="",AA75=""),"",O75*AA75)</f>
        <v/>
      </c>
      <c r="Z75" s="40"/>
      <c r="AA75" s="40"/>
      <c r="AB75" s="30" t="str">
        <f aca="false">IFERROR(X75/P75,"")</f>
        <v/>
      </c>
      <c r="AC75" s="41"/>
      <c r="AD75" s="41"/>
      <c r="AE75" s="44"/>
    </row>
    <row r="76" customFormat="false" ht="15" hidden="false" customHeight="true" outlineLevel="0" collapsed="false">
      <c r="A76" s="42"/>
      <c r="B76" s="42"/>
      <c r="C76" s="42"/>
      <c r="D76" s="42"/>
      <c r="E76" s="42"/>
      <c r="F76" s="42"/>
      <c r="G76" s="43"/>
      <c r="H76" s="36"/>
      <c r="I76" s="36"/>
      <c r="J76" s="36"/>
      <c r="K76" s="36"/>
      <c r="L76" s="36"/>
      <c r="M76" s="45"/>
      <c r="N76" s="45"/>
      <c r="O76" s="38"/>
      <c r="P76" s="38"/>
      <c r="Q76" s="25" t="str">
        <f aca="false">IF(OR(O76="",P76=""),"",O76-P76)</f>
        <v/>
      </c>
      <c r="R76" s="24"/>
      <c r="S76" s="37"/>
      <c r="T76" s="37"/>
      <c r="U76" s="38"/>
      <c r="V76" s="38"/>
      <c r="W76" s="38"/>
      <c r="X76" s="25" t="str">
        <f aca="false">IF(OR(U76="",V76=""),"",U76+V76)</f>
        <v/>
      </c>
      <c r="Y76" s="39" t="str">
        <f aca="false">IF(OR(O76="",AA76=""),"",O76*AA76)</f>
        <v/>
      </c>
      <c r="Z76" s="40"/>
      <c r="AA76" s="40"/>
      <c r="AB76" s="30" t="str">
        <f aca="false">IFERROR(X76/P76,"")</f>
        <v/>
      </c>
      <c r="AC76" s="41"/>
      <c r="AD76" s="41"/>
      <c r="AE76" s="44"/>
    </row>
    <row r="77" customFormat="false" ht="15" hidden="false" customHeight="true" outlineLevel="0" collapsed="false">
      <c r="A77" s="42"/>
      <c r="B77" s="42"/>
      <c r="C77" s="42"/>
      <c r="D77" s="42"/>
      <c r="E77" s="42"/>
      <c r="F77" s="42"/>
      <c r="G77" s="43"/>
      <c r="H77" s="36"/>
      <c r="I77" s="36"/>
      <c r="J77" s="36"/>
      <c r="K77" s="36"/>
      <c r="L77" s="36"/>
      <c r="M77" s="45"/>
      <c r="N77" s="45"/>
      <c r="O77" s="38"/>
      <c r="P77" s="38"/>
      <c r="Q77" s="25" t="str">
        <f aca="false">IF(OR(O77="",P77=""),"",O77-P77)</f>
        <v/>
      </c>
      <c r="R77" s="24"/>
      <c r="S77" s="37"/>
      <c r="T77" s="37"/>
      <c r="U77" s="38"/>
      <c r="V77" s="38"/>
      <c r="W77" s="38"/>
      <c r="X77" s="25" t="str">
        <f aca="false">IF(OR(U77="",V77=""),"",U77+V77)</f>
        <v/>
      </c>
      <c r="Y77" s="39" t="str">
        <f aca="false">IF(OR(O77="",AA77=""),"",O77*AA77)</f>
        <v/>
      </c>
      <c r="Z77" s="40"/>
      <c r="AA77" s="40"/>
      <c r="AB77" s="30" t="str">
        <f aca="false">IFERROR(X77/P77,"")</f>
        <v/>
      </c>
      <c r="AC77" s="41"/>
      <c r="AD77" s="41"/>
      <c r="AE77" s="44"/>
    </row>
    <row r="78" customFormat="false" ht="15" hidden="false" customHeight="true" outlineLevel="0" collapsed="false">
      <c r="A78" s="42"/>
      <c r="B78" s="42"/>
      <c r="C78" s="42"/>
      <c r="D78" s="42"/>
      <c r="E78" s="42"/>
      <c r="F78" s="42"/>
      <c r="G78" s="43"/>
      <c r="H78" s="36"/>
      <c r="I78" s="36"/>
      <c r="J78" s="36"/>
      <c r="K78" s="36"/>
      <c r="L78" s="36"/>
      <c r="M78" s="45"/>
      <c r="N78" s="45"/>
      <c r="O78" s="38"/>
      <c r="P78" s="38"/>
      <c r="Q78" s="25" t="str">
        <f aca="false">IF(OR(O78="",P78=""),"",O78-P78)</f>
        <v/>
      </c>
      <c r="R78" s="24"/>
      <c r="S78" s="37"/>
      <c r="T78" s="37"/>
      <c r="U78" s="38"/>
      <c r="V78" s="38"/>
      <c r="W78" s="38"/>
      <c r="X78" s="25" t="str">
        <f aca="false">IF(OR(U78="",V78=""),"",U78+V78)</f>
        <v/>
      </c>
      <c r="Y78" s="39" t="str">
        <f aca="false">IF(OR(O78="",AA78=""),"",O78*AA78)</f>
        <v/>
      </c>
      <c r="Z78" s="40"/>
      <c r="AA78" s="40"/>
      <c r="AB78" s="30" t="str">
        <f aca="false">IFERROR(X78/P78,"")</f>
        <v/>
      </c>
      <c r="AC78" s="41"/>
      <c r="AD78" s="41"/>
      <c r="AE78" s="44"/>
    </row>
    <row r="79" customFormat="false" ht="15" hidden="false" customHeight="true" outlineLevel="0" collapsed="false">
      <c r="A79" s="42"/>
      <c r="B79" s="42"/>
      <c r="C79" s="42"/>
      <c r="D79" s="42"/>
      <c r="E79" s="42"/>
      <c r="F79" s="42"/>
      <c r="G79" s="43"/>
      <c r="H79" s="36"/>
      <c r="I79" s="36"/>
      <c r="J79" s="36"/>
      <c r="K79" s="36"/>
      <c r="L79" s="36"/>
      <c r="M79" s="45"/>
      <c r="N79" s="45"/>
      <c r="O79" s="38"/>
      <c r="P79" s="38"/>
      <c r="Q79" s="25" t="str">
        <f aca="false">IF(OR(O79="",P79=""),"",O79-P79)</f>
        <v/>
      </c>
      <c r="R79" s="24"/>
      <c r="S79" s="37"/>
      <c r="T79" s="37"/>
      <c r="U79" s="38"/>
      <c r="V79" s="38"/>
      <c r="W79" s="38"/>
      <c r="X79" s="25" t="str">
        <f aca="false">IF(OR(U79="",V79=""),"",U79+V79)</f>
        <v/>
      </c>
      <c r="Y79" s="39" t="str">
        <f aca="false">IF(OR(O79="",AA79=""),"",O79*AA79)</f>
        <v/>
      </c>
      <c r="Z79" s="40"/>
      <c r="AA79" s="40"/>
      <c r="AB79" s="30" t="str">
        <f aca="false">IFERROR(X79/P79,"")</f>
        <v/>
      </c>
      <c r="AC79" s="41"/>
      <c r="AD79" s="41"/>
      <c r="AE79" s="44"/>
    </row>
    <row r="80" customFormat="false" ht="15" hidden="false" customHeight="true" outlineLevel="0" collapsed="false">
      <c r="A80" s="42"/>
      <c r="B80" s="42"/>
      <c r="C80" s="42"/>
      <c r="D80" s="42"/>
      <c r="E80" s="42"/>
      <c r="F80" s="42"/>
      <c r="G80" s="43"/>
      <c r="H80" s="36"/>
      <c r="I80" s="36"/>
      <c r="J80" s="36"/>
      <c r="K80" s="36"/>
      <c r="L80" s="36"/>
      <c r="M80" s="45"/>
      <c r="N80" s="45"/>
      <c r="O80" s="38"/>
      <c r="P80" s="38"/>
      <c r="Q80" s="25" t="str">
        <f aca="false">IF(OR(O80="",P80=""),"",O80-P80)</f>
        <v/>
      </c>
      <c r="R80" s="24"/>
      <c r="S80" s="37"/>
      <c r="T80" s="37"/>
      <c r="U80" s="38"/>
      <c r="V80" s="38"/>
      <c r="W80" s="38"/>
      <c r="X80" s="25" t="str">
        <f aca="false">IF(OR(U80="",V80=""),"",U80+V80)</f>
        <v/>
      </c>
      <c r="Y80" s="39" t="str">
        <f aca="false">IF(OR(O80="",AA80=""),"",O80*AA80)</f>
        <v/>
      </c>
      <c r="Z80" s="40"/>
      <c r="AA80" s="40"/>
      <c r="AB80" s="30" t="str">
        <f aca="false">IFERROR(X80/P80,"")</f>
        <v/>
      </c>
      <c r="AC80" s="41"/>
      <c r="AD80" s="41"/>
      <c r="AE80" s="44"/>
    </row>
    <row r="81" customFormat="false" ht="15" hidden="false" customHeight="true" outlineLevel="0" collapsed="false">
      <c r="A81" s="42"/>
      <c r="B81" s="42"/>
      <c r="C81" s="42"/>
      <c r="D81" s="42"/>
      <c r="E81" s="42"/>
      <c r="F81" s="42"/>
      <c r="G81" s="43"/>
      <c r="H81" s="36"/>
      <c r="I81" s="36"/>
      <c r="J81" s="36"/>
      <c r="K81" s="36"/>
      <c r="L81" s="36"/>
      <c r="M81" s="45"/>
      <c r="N81" s="45"/>
      <c r="O81" s="38"/>
      <c r="P81" s="38"/>
      <c r="Q81" s="25" t="str">
        <f aca="false">IF(OR(O81="",P81=""),"",O81-P81)</f>
        <v/>
      </c>
      <c r="R81" s="24"/>
      <c r="S81" s="37"/>
      <c r="T81" s="37"/>
      <c r="U81" s="38"/>
      <c r="V81" s="38"/>
      <c r="W81" s="38"/>
      <c r="X81" s="25" t="str">
        <f aca="false">IF(OR(U81="",V81=""),"",U81+V81)</f>
        <v/>
      </c>
      <c r="Y81" s="39" t="str">
        <f aca="false">IF(OR(O81="",AA81=""),"",O81*AA81)</f>
        <v/>
      </c>
      <c r="Z81" s="40"/>
      <c r="AA81" s="40"/>
      <c r="AB81" s="30" t="str">
        <f aca="false">IFERROR(X81/P81,"")</f>
        <v/>
      </c>
      <c r="AC81" s="41"/>
      <c r="AD81" s="41"/>
      <c r="AE81" s="44"/>
    </row>
    <row r="82" customFormat="false" ht="15" hidden="false" customHeight="true" outlineLevel="0" collapsed="false">
      <c r="A82" s="42"/>
      <c r="B82" s="42"/>
      <c r="C82" s="42"/>
      <c r="D82" s="42"/>
      <c r="E82" s="42"/>
      <c r="F82" s="42"/>
      <c r="G82" s="43"/>
      <c r="H82" s="36"/>
      <c r="I82" s="36"/>
      <c r="J82" s="36"/>
      <c r="K82" s="36"/>
      <c r="L82" s="36"/>
      <c r="M82" s="45"/>
      <c r="N82" s="45"/>
      <c r="O82" s="38"/>
      <c r="P82" s="38"/>
      <c r="Q82" s="25" t="str">
        <f aca="false">IF(OR(O82="",P82=""),"",O82-P82)</f>
        <v/>
      </c>
      <c r="R82" s="24"/>
      <c r="S82" s="37"/>
      <c r="T82" s="37"/>
      <c r="U82" s="38"/>
      <c r="V82" s="38"/>
      <c r="W82" s="38"/>
      <c r="X82" s="25" t="str">
        <f aca="false">IF(OR(U82="",V82=""),"",U82+V82)</f>
        <v/>
      </c>
      <c r="Y82" s="39" t="str">
        <f aca="false">IF(OR(O82="",AA82=""),"",O82*AA82)</f>
        <v/>
      </c>
      <c r="Z82" s="40"/>
      <c r="AA82" s="40"/>
      <c r="AB82" s="30" t="str">
        <f aca="false">IFERROR(X82/P82,"")</f>
        <v/>
      </c>
      <c r="AC82" s="41"/>
      <c r="AD82" s="41"/>
      <c r="AE82" s="44"/>
    </row>
    <row r="83" customFormat="false" ht="15" hidden="false" customHeight="true" outlineLevel="0" collapsed="false">
      <c r="A83" s="42"/>
      <c r="B83" s="42"/>
      <c r="C83" s="42"/>
      <c r="D83" s="42"/>
      <c r="E83" s="42"/>
      <c r="F83" s="42"/>
      <c r="G83" s="43"/>
      <c r="H83" s="36"/>
      <c r="I83" s="36"/>
      <c r="J83" s="36"/>
      <c r="K83" s="36"/>
      <c r="L83" s="36"/>
      <c r="M83" s="45"/>
      <c r="N83" s="45"/>
      <c r="O83" s="38"/>
      <c r="P83" s="38"/>
      <c r="Q83" s="25" t="str">
        <f aca="false">IF(OR(O83="",P83=""),"",O83-P83)</f>
        <v/>
      </c>
      <c r="R83" s="24"/>
      <c r="S83" s="37"/>
      <c r="T83" s="37"/>
      <c r="U83" s="38"/>
      <c r="V83" s="38"/>
      <c r="W83" s="38"/>
      <c r="X83" s="25" t="str">
        <f aca="false">IF(OR(U83="",V83=""),"",U83+V83)</f>
        <v/>
      </c>
      <c r="Y83" s="39" t="str">
        <f aca="false">IF(OR(O83="",AA83=""),"",O83*AA83)</f>
        <v/>
      </c>
      <c r="Z83" s="40"/>
      <c r="AA83" s="40"/>
      <c r="AB83" s="30" t="str">
        <f aca="false">IFERROR(X83/P83,"")</f>
        <v/>
      </c>
      <c r="AC83" s="41"/>
      <c r="AD83" s="41"/>
      <c r="AE83" s="44"/>
    </row>
    <row r="84" customFormat="false" ht="15" hidden="false" customHeight="true" outlineLevel="0" collapsed="false">
      <c r="A84" s="42"/>
      <c r="B84" s="42"/>
      <c r="C84" s="42"/>
      <c r="D84" s="42"/>
      <c r="E84" s="42"/>
      <c r="F84" s="42"/>
      <c r="G84" s="43"/>
      <c r="H84" s="36"/>
      <c r="I84" s="36"/>
      <c r="J84" s="36"/>
      <c r="K84" s="36"/>
      <c r="L84" s="36"/>
      <c r="M84" s="45"/>
      <c r="N84" s="45"/>
      <c r="O84" s="38"/>
      <c r="P84" s="38"/>
      <c r="Q84" s="25" t="str">
        <f aca="false">IF(OR(O84="",P84=""),"",O84-P84)</f>
        <v/>
      </c>
      <c r="R84" s="24"/>
      <c r="S84" s="37"/>
      <c r="T84" s="37"/>
      <c r="U84" s="38"/>
      <c r="V84" s="38"/>
      <c r="W84" s="38"/>
      <c r="X84" s="25" t="str">
        <f aca="false">IF(OR(U84="",V84=""),"",U84+V84)</f>
        <v/>
      </c>
      <c r="Y84" s="39" t="str">
        <f aca="false">IF(OR(O84="",AA84=""),"",O84*AA84)</f>
        <v/>
      </c>
      <c r="Z84" s="40"/>
      <c r="AA84" s="40"/>
      <c r="AB84" s="30" t="str">
        <f aca="false">IFERROR(X84/P84,"")</f>
        <v/>
      </c>
      <c r="AC84" s="41"/>
      <c r="AD84" s="41"/>
      <c r="AE84" s="44"/>
    </row>
    <row r="85" customFormat="false" ht="15" hidden="false" customHeight="true" outlineLevel="0" collapsed="false">
      <c r="A85" s="42"/>
      <c r="B85" s="42"/>
      <c r="C85" s="42"/>
      <c r="D85" s="42"/>
      <c r="E85" s="42"/>
      <c r="F85" s="42"/>
      <c r="G85" s="43"/>
      <c r="H85" s="36"/>
      <c r="I85" s="36"/>
      <c r="J85" s="36"/>
      <c r="K85" s="36"/>
      <c r="L85" s="36"/>
      <c r="M85" s="45"/>
      <c r="N85" s="45"/>
      <c r="O85" s="38"/>
      <c r="P85" s="38"/>
      <c r="Q85" s="25" t="str">
        <f aca="false">IF(OR(O85="",P85=""),"",O85-P85)</f>
        <v/>
      </c>
      <c r="R85" s="24"/>
      <c r="S85" s="37"/>
      <c r="T85" s="37"/>
      <c r="U85" s="38"/>
      <c r="V85" s="38"/>
      <c r="W85" s="38"/>
      <c r="X85" s="25" t="str">
        <f aca="false">IF(OR(U85="",V85=""),"",U85+V85)</f>
        <v/>
      </c>
      <c r="Y85" s="39" t="str">
        <f aca="false">IF(OR(O85="",AA85=""),"",O85*AA85)</f>
        <v/>
      </c>
      <c r="Z85" s="40"/>
      <c r="AA85" s="40"/>
      <c r="AB85" s="30" t="str">
        <f aca="false">IFERROR(X85/P85,"")</f>
        <v/>
      </c>
      <c r="AC85" s="41"/>
      <c r="AD85" s="41"/>
      <c r="AE85" s="44"/>
    </row>
    <row r="86" customFormat="false" ht="15" hidden="false" customHeight="true" outlineLevel="0" collapsed="false">
      <c r="A86" s="42"/>
      <c r="B86" s="42"/>
      <c r="C86" s="42"/>
      <c r="D86" s="42"/>
      <c r="E86" s="42"/>
      <c r="F86" s="42"/>
      <c r="G86" s="43"/>
      <c r="H86" s="36"/>
      <c r="I86" s="36"/>
      <c r="J86" s="36"/>
      <c r="K86" s="36"/>
      <c r="L86" s="36"/>
      <c r="M86" s="45"/>
      <c r="N86" s="45"/>
      <c r="O86" s="38"/>
      <c r="P86" s="38"/>
      <c r="Q86" s="25" t="str">
        <f aca="false">IF(OR(O86="",P86=""),"",O86-P86)</f>
        <v/>
      </c>
      <c r="R86" s="24"/>
      <c r="S86" s="37"/>
      <c r="T86" s="37"/>
      <c r="U86" s="38"/>
      <c r="V86" s="38"/>
      <c r="W86" s="38"/>
      <c r="X86" s="25" t="str">
        <f aca="false">IF(OR(U86="",V86=""),"",U86+V86)</f>
        <v/>
      </c>
      <c r="Y86" s="39" t="str">
        <f aca="false">IF(OR(O86="",AA86=""),"",O86*AA86)</f>
        <v/>
      </c>
      <c r="Z86" s="40"/>
      <c r="AA86" s="40"/>
      <c r="AB86" s="30" t="str">
        <f aca="false">IFERROR(X86/P86,"")</f>
        <v/>
      </c>
      <c r="AC86" s="41"/>
      <c r="AD86" s="41"/>
      <c r="AE86" s="44"/>
    </row>
    <row r="87" customFormat="false" ht="15" hidden="false" customHeight="true" outlineLevel="0" collapsed="false">
      <c r="A87" s="42"/>
      <c r="B87" s="42"/>
      <c r="C87" s="42"/>
      <c r="D87" s="42"/>
      <c r="E87" s="42"/>
      <c r="F87" s="42"/>
      <c r="G87" s="43"/>
      <c r="H87" s="36"/>
      <c r="I87" s="36"/>
      <c r="J87" s="36"/>
      <c r="K87" s="36"/>
      <c r="L87" s="36"/>
      <c r="M87" s="45"/>
      <c r="N87" s="45"/>
      <c r="O87" s="38"/>
      <c r="P87" s="38"/>
      <c r="Q87" s="25" t="str">
        <f aca="false">IF(OR(O87="",P87=""),"",O87-P87)</f>
        <v/>
      </c>
      <c r="R87" s="24"/>
      <c r="S87" s="37"/>
      <c r="T87" s="37"/>
      <c r="U87" s="38"/>
      <c r="V87" s="38"/>
      <c r="W87" s="38"/>
      <c r="X87" s="25" t="str">
        <f aca="false">IF(OR(U87="",V87=""),"",U87+V87)</f>
        <v/>
      </c>
      <c r="Y87" s="39" t="str">
        <f aca="false">IF(OR(O87="",AA87=""),"",O87*AA87)</f>
        <v/>
      </c>
      <c r="Z87" s="40"/>
      <c r="AA87" s="40"/>
      <c r="AB87" s="30" t="str">
        <f aca="false">IFERROR(X87/P87,"")</f>
        <v/>
      </c>
      <c r="AC87" s="41"/>
      <c r="AD87" s="41"/>
      <c r="AE87" s="44"/>
    </row>
    <row r="88" customFormat="false" ht="15" hidden="false" customHeight="true" outlineLevel="0" collapsed="false">
      <c r="A88" s="42"/>
      <c r="B88" s="42"/>
      <c r="C88" s="42"/>
      <c r="D88" s="42"/>
      <c r="E88" s="42"/>
      <c r="F88" s="42"/>
      <c r="G88" s="43"/>
      <c r="H88" s="36"/>
      <c r="I88" s="36"/>
      <c r="J88" s="36"/>
      <c r="K88" s="36"/>
      <c r="L88" s="36"/>
      <c r="M88" s="45"/>
      <c r="N88" s="45"/>
      <c r="O88" s="38"/>
      <c r="P88" s="38"/>
      <c r="Q88" s="25" t="str">
        <f aca="false">IF(OR(O88="",P88=""),"",O88-P88)</f>
        <v/>
      </c>
      <c r="R88" s="24"/>
      <c r="S88" s="37"/>
      <c r="T88" s="37"/>
      <c r="U88" s="38"/>
      <c r="V88" s="38"/>
      <c r="W88" s="38"/>
      <c r="X88" s="25" t="str">
        <f aca="false">IF(OR(U88="",V88=""),"",U88+V88)</f>
        <v/>
      </c>
      <c r="Y88" s="39" t="str">
        <f aca="false">IF(OR(O88="",AA88=""),"",O88*AA88)</f>
        <v/>
      </c>
      <c r="Z88" s="40"/>
      <c r="AA88" s="40"/>
      <c r="AB88" s="30" t="str">
        <f aca="false">IFERROR(X88/P88,"")</f>
        <v/>
      </c>
      <c r="AC88" s="41"/>
      <c r="AD88" s="41"/>
      <c r="AE88" s="44"/>
    </row>
    <row r="89" customFormat="false" ht="15" hidden="false" customHeight="true" outlineLevel="0" collapsed="false">
      <c r="A89" s="42"/>
      <c r="B89" s="42"/>
      <c r="C89" s="42"/>
      <c r="D89" s="42"/>
      <c r="E89" s="42"/>
      <c r="F89" s="42"/>
      <c r="G89" s="43"/>
      <c r="H89" s="36"/>
      <c r="I89" s="36"/>
      <c r="J89" s="36"/>
      <c r="K89" s="36"/>
      <c r="L89" s="36"/>
      <c r="M89" s="45"/>
      <c r="N89" s="45"/>
      <c r="O89" s="38"/>
      <c r="P89" s="38"/>
      <c r="Q89" s="25" t="str">
        <f aca="false">IF(OR(O89="",P89=""),"",O89-P89)</f>
        <v/>
      </c>
      <c r="R89" s="24"/>
      <c r="S89" s="37"/>
      <c r="T89" s="37"/>
      <c r="U89" s="38"/>
      <c r="V89" s="38"/>
      <c r="W89" s="38"/>
      <c r="X89" s="25" t="str">
        <f aca="false">IF(OR(U89="",V89=""),"",U89+V89)</f>
        <v/>
      </c>
      <c r="Y89" s="39" t="str">
        <f aca="false">IF(OR(O89="",AA89=""),"",O89*AA89)</f>
        <v/>
      </c>
      <c r="Z89" s="40"/>
      <c r="AA89" s="40"/>
      <c r="AB89" s="30" t="str">
        <f aca="false">IFERROR(X89/P89,"")</f>
        <v/>
      </c>
      <c r="AC89" s="41"/>
      <c r="AD89" s="41"/>
      <c r="AE89" s="44"/>
    </row>
    <row r="90" customFormat="false" ht="15" hidden="false" customHeight="true" outlineLevel="0" collapsed="false">
      <c r="A90" s="42"/>
      <c r="B90" s="42"/>
      <c r="C90" s="42"/>
      <c r="D90" s="42"/>
      <c r="E90" s="42"/>
      <c r="F90" s="42"/>
      <c r="G90" s="43"/>
      <c r="H90" s="36"/>
      <c r="I90" s="36"/>
      <c r="J90" s="36"/>
      <c r="K90" s="36"/>
      <c r="L90" s="36"/>
      <c r="M90" s="45"/>
      <c r="N90" s="45"/>
      <c r="O90" s="38"/>
      <c r="P90" s="38"/>
      <c r="Q90" s="25" t="str">
        <f aca="false">IF(OR(O90="",P90=""),"",O90-P90)</f>
        <v/>
      </c>
      <c r="R90" s="24"/>
      <c r="S90" s="37"/>
      <c r="T90" s="37"/>
      <c r="U90" s="38"/>
      <c r="V90" s="38"/>
      <c r="W90" s="38"/>
      <c r="X90" s="25" t="str">
        <f aca="false">IF(OR(U90="",V90=""),"",U90+V90)</f>
        <v/>
      </c>
      <c r="Y90" s="39" t="str">
        <f aca="false">IF(OR(O90="",AA90=""),"",O90*AA90)</f>
        <v/>
      </c>
      <c r="Z90" s="40"/>
      <c r="AA90" s="40"/>
      <c r="AB90" s="30" t="str">
        <f aca="false">IFERROR(X90/P90,"")</f>
        <v/>
      </c>
      <c r="AC90" s="41"/>
      <c r="AD90" s="41"/>
      <c r="AE90" s="44"/>
    </row>
    <row r="91" customFormat="false" ht="15" hidden="false" customHeight="true" outlineLevel="0" collapsed="false">
      <c r="A91" s="42"/>
      <c r="B91" s="42"/>
      <c r="C91" s="42"/>
      <c r="D91" s="42"/>
      <c r="E91" s="42"/>
      <c r="F91" s="42"/>
      <c r="G91" s="43"/>
      <c r="H91" s="36"/>
      <c r="I91" s="36"/>
      <c r="J91" s="36"/>
      <c r="K91" s="36"/>
      <c r="L91" s="36"/>
      <c r="M91" s="45"/>
      <c r="N91" s="45"/>
      <c r="O91" s="38"/>
      <c r="P91" s="38"/>
      <c r="Q91" s="25" t="str">
        <f aca="false">IF(OR(O91="",P91=""),"",O91-P91)</f>
        <v/>
      </c>
      <c r="R91" s="24"/>
      <c r="S91" s="37"/>
      <c r="T91" s="37"/>
      <c r="U91" s="38"/>
      <c r="V91" s="38"/>
      <c r="W91" s="38"/>
      <c r="X91" s="25" t="str">
        <f aca="false">IF(OR(U91="",V91=""),"",U91+V91)</f>
        <v/>
      </c>
      <c r="Y91" s="39" t="str">
        <f aca="false">IF(OR(O91="",AA91=""),"",O91*AA91)</f>
        <v/>
      </c>
      <c r="Z91" s="40"/>
      <c r="AA91" s="40"/>
      <c r="AB91" s="30" t="str">
        <f aca="false">IFERROR(X91/P91,"")</f>
        <v/>
      </c>
      <c r="AC91" s="41"/>
      <c r="AD91" s="41"/>
      <c r="AE91" s="44"/>
    </row>
    <row r="92" customFormat="false" ht="15" hidden="false" customHeight="true" outlineLevel="0" collapsed="false">
      <c r="A92" s="42"/>
      <c r="B92" s="42"/>
      <c r="C92" s="42"/>
      <c r="D92" s="42"/>
      <c r="E92" s="42"/>
      <c r="F92" s="42"/>
      <c r="G92" s="43"/>
      <c r="H92" s="36"/>
      <c r="I92" s="36"/>
      <c r="J92" s="36"/>
      <c r="K92" s="36"/>
      <c r="L92" s="36"/>
      <c r="M92" s="45"/>
      <c r="N92" s="45"/>
      <c r="O92" s="38"/>
      <c r="P92" s="38"/>
      <c r="Q92" s="25" t="str">
        <f aca="false">IF(OR(O92="",P92=""),"",O92-P92)</f>
        <v/>
      </c>
      <c r="R92" s="24"/>
      <c r="S92" s="37"/>
      <c r="T92" s="37"/>
      <c r="U92" s="38"/>
      <c r="V92" s="38"/>
      <c r="W92" s="38"/>
      <c r="X92" s="25" t="str">
        <f aca="false">IF(OR(U92="",V92=""),"",U92+V92)</f>
        <v/>
      </c>
      <c r="Y92" s="39" t="str">
        <f aca="false">IF(OR(O92="",AA92=""),"",O92*AA92)</f>
        <v/>
      </c>
      <c r="Z92" s="40"/>
      <c r="AA92" s="40"/>
      <c r="AB92" s="30" t="str">
        <f aca="false">IFERROR(X92/P92,"")</f>
        <v/>
      </c>
      <c r="AC92" s="41"/>
      <c r="AD92" s="41"/>
      <c r="AE92" s="44"/>
    </row>
    <row r="93" customFormat="false" ht="15" hidden="false" customHeight="true" outlineLevel="0" collapsed="false">
      <c r="A93" s="42"/>
      <c r="B93" s="42"/>
      <c r="C93" s="42"/>
      <c r="D93" s="42"/>
      <c r="E93" s="42"/>
      <c r="F93" s="42"/>
      <c r="G93" s="43"/>
      <c r="H93" s="36"/>
      <c r="I93" s="36"/>
      <c r="J93" s="36"/>
      <c r="K93" s="36"/>
      <c r="L93" s="36"/>
      <c r="M93" s="45"/>
      <c r="N93" s="45"/>
      <c r="O93" s="38"/>
      <c r="P93" s="38"/>
      <c r="Q93" s="25" t="str">
        <f aca="false">IF(OR(O93="",P93=""),"",O93-P93)</f>
        <v/>
      </c>
      <c r="R93" s="24"/>
      <c r="S93" s="37"/>
      <c r="T93" s="37"/>
      <c r="U93" s="38"/>
      <c r="V93" s="38"/>
      <c r="W93" s="38"/>
      <c r="X93" s="25" t="str">
        <f aca="false">IF(OR(U93="",V93=""),"",U93+V93)</f>
        <v/>
      </c>
      <c r="Y93" s="39" t="str">
        <f aca="false">IF(OR(O93="",AA93=""),"",O93*AA93)</f>
        <v/>
      </c>
      <c r="Z93" s="40"/>
      <c r="AA93" s="40"/>
      <c r="AB93" s="30" t="str">
        <f aca="false">IFERROR(X93/P93,"")</f>
        <v/>
      </c>
      <c r="AC93" s="41"/>
      <c r="AD93" s="41"/>
      <c r="AE93" s="44"/>
    </row>
    <row r="94" customFormat="false" ht="15" hidden="false" customHeight="true" outlineLevel="0" collapsed="false">
      <c r="A94" s="42"/>
      <c r="B94" s="42"/>
      <c r="C94" s="42"/>
      <c r="D94" s="42"/>
      <c r="E94" s="42"/>
      <c r="F94" s="42"/>
      <c r="G94" s="43"/>
      <c r="H94" s="36"/>
      <c r="I94" s="36"/>
      <c r="J94" s="36"/>
      <c r="K94" s="36"/>
      <c r="L94" s="36"/>
      <c r="M94" s="45"/>
      <c r="N94" s="45"/>
      <c r="O94" s="38"/>
      <c r="P94" s="38"/>
      <c r="Q94" s="25" t="str">
        <f aca="false">IF(OR(O94="",P94=""),"",O94-P94)</f>
        <v/>
      </c>
      <c r="R94" s="24"/>
      <c r="S94" s="37"/>
      <c r="T94" s="37"/>
      <c r="U94" s="38"/>
      <c r="V94" s="38"/>
      <c r="W94" s="38"/>
      <c r="X94" s="25" t="str">
        <f aca="false">IF(OR(U94="",V94=""),"",U94+V94)</f>
        <v/>
      </c>
      <c r="Y94" s="39" t="str">
        <f aca="false">IF(OR(O94="",AA94=""),"",O94*AA94)</f>
        <v/>
      </c>
      <c r="Z94" s="40"/>
      <c r="AA94" s="40"/>
      <c r="AB94" s="30" t="str">
        <f aca="false">IFERROR(X94/P94,"")</f>
        <v/>
      </c>
      <c r="AC94" s="41"/>
      <c r="AD94" s="41"/>
      <c r="AE94" s="44"/>
    </row>
    <row r="95" customFormat="false" ht="15" hidden="false" customHeight="true" outlineLevel="0" collapsed="false">
      <c r="A95" s="42"/>
      <c r="B95" s="42"/>
      <c r="C95" s="42"/>
      <c r="D95" s="42"/>
      <c r="E95" s="42"/>
      <c r="F95" s="42"/>
      <c r="G95" s="43"/>
      <c r="H95" s="36"/>
      <c r="I95" s="36"/>
      <c r="J95" s="36"/>
      <c r="K95" s="36"/>
      <c r="L95" s="36"/>
      <c r="M95" s="45"/>
      <c r="N95" s="45"/>
      <c r="O95" s="38"/>
      <c r="P95" s="38"/>
      <c r="Q95" s="25" t="str">
        <f aca="false">IF(OR(O95="",P95=""),"",O95-P95)</f>
        <v/>
      </c>
      <c r="R95" s="24"/>
      <c r="S95" s="37"/>
      <c r="T95" s="37"/>
      <c r="U95" s="38"/>
      <c r="V95" s="38"/>
      <c r="W95" s="38"/>
      <c r="X95" s="25" t="str">
        <f aca="false">IF(OR(U95="",V95=""),"",U95+V95)</f>
        <v/>
      </c>
      <c r="Y95" s="39" t="str">
        <f aca="false">IF(OR(O95="",AA95=""),"",O95*AA95)</f>
        <v/>
      </c>
      <c r="Z95" s="40"/>
      <c r="AA95" s="40"/>
      <c r="AB95" s="30" t="str">
        <f aca="false">IFERROR(X95/P95,"")</f>
        <v/>
      </c>
      <c r="AC95" s="41"/>
      <c r="AD95" s="41"/>
      <c r="AE95" s="44"/>
    </row>
    <row r="96" customFormat="false" ht="15" hidden="false" customHeight="true" outlineLevel="0" collapsed="false">
      <c r="A96" s="42"/>
      <c r="B96" s="42"/>
      <c r="C96" s="42"/>
      <c r="D96" s="42"/>
      <c r="E96" s="42"/>
      <c r="F96" s="42"/>
      <c r="G96" s="43"/>
      <c r="H96" s="36"/>
      <c r="I96" s="36"/>
      <c r="J96" s="36"/>
      <c r="K96" s="36"/>
      <c r="L96" s="36"/>
      <c r="M96" s="45"/>
      <c r="N96" s="45"/>
      <c r="O96" s="38"/>
      <c r="P96" s="38"/>
      <c r="Q96" s="25" t="str">
        <f aca="false">IF(OR(O96="",P96=""),"",O96-P96)</f>
        <v/>
      </c>
      <c r="R96" s="24"/>
      <c r="S96" s="37"/>
      <c r="T96" s="37"/>
      <c r="U96" s="38"/>
      <c r="V96" s="38"/>
      <c r="W96" s="38"/>
      <c r="X96" s="25" t="str">
        <f aca="false">IF(OR(U96="",V96=""),"",U96+V96)</f>
        <v/>
      </c>
      <c r="Y96" s="39" t="str">
        <f aca="false">IF(OR(O96="",AA96=""),"",O96*AA96)</f>
        <v/>
      </c>
      <c r="Z96" s="40"/>
      <c r="AA96" s="40"/>
      <c r="AB96" s="30" t="str">
        <f aca="false">IFERROR(X96/P96,"")</f>
        <v/>
      </c>
      <c r="AC96" s="41"/>
      <c r="AD96" s="41"/>
      <c r="AE96" s="44"/>
    </row>
    <row r="97" customFormat="false" ht="15" hidden="false" customHeight="true" outlineLevel="0" collapsed="false">
      <c r="A97" s="42"/>
      <c r="B97" s="42"/>
      <c r="C97" s="42"/>
      <c r="D97" s="42"/>
      <c r="E97" s="42"/>
      <c r="F97" s="42"/>
      <c r="G97" s="43"/>
      <c r="H97" s="36"/>
      <c r="I97" s="36"/>
      <c r="J97" s="36"/>
      <c r="K97" s="36"/>
      <c r="L97" s="36"/>
      <c r="M97" s="45"/>
      <c r="N97" s="45"/>
      <c r="O97" s="38"/>
      <c r="P97" s="38"/>
      <c r="Q97" s="25" t="str">
        <f aca="false">IF(OR(O97="",P97=""),"",O97-P97)</f>
        <v/>
      </c>
      <c r="R97" s="24"/>
      <c r="S97" s="37"/>
      <c r="T97" s="37"/>
      <c r="U97" s="38"/>
      <c r="V97" s="38"/>
      <c r="W97" s="38"/>
      <c r="X97" s="25" t="str">
        <f aca="false">IF(OR(U97="",V97=""),"",U97+V97)</f>
        <v/>
      </c>
      <c r="Y97" s="39" t="str">
        <f aca="false">IF(OR(O97="",AA97=""),"",O97*AA97)</f>
        <v/>
      </c>
      <c r="Z97" s="40"/>
      <c r="AA97" s="40"/>
      <c r="AB97" s="30" t="str">
        <f aca="false">IFERROR(X97/P97,"")</f>
        <v/>
      </c>
      <c r="AC97" s="41"/>
      <c r="AD97" s="41"/>
      <c r="AE97" s="44"/>
    </row>
    <row r="98" customFormat="false" ht="15" hidden="false" customHeight="true" outlineLevel="0" collapsed="false">
      <c r="A98" s="42"/>
      <c r="B98" s="42"/>
      <c r="C98" s="42"/>
      <c r="D98" s="42"/>
      <c r="E98" s="42"/>
      <c r="F98" s="42"/>
      <c r="G98" s="43"/>
      <c r="H98" s="36"/>
      <c r="I98" s="36"/>
      <c r="J98" s="36"/>
      <c r="K98" s="36"/>
      <c r="L98" s="36"/>
      <c r="M98" s="45"/>
      <c r="N98" s="45"/>
      <c r="O98" s="38"/>
      <c r="P98" s="38"/>
      <c r="Q98" s="25" t="str">
        <f aca="false">IF(OR(O98="",P98=""),"",O98-P98)</f>
        <v/>
      </c>
      <c r="R98" s="24"/>
      <c r="S98" s="37"/>
      <c r="T98" s="37"/>
      <c r="U98" s="38"/>
      <c r="V98" s="38"/>
      <c r="W98" s="38"/>
      <c r="X98" s="25" t="str">
        <f aca="false">IF(OR(U98="",V98=""),"",U98+V98)</f>
        <v/>
      </c>
      <c r="Y98" s="39" t="str">
        <f aca="false">IF(OR(O98="",AA98=""),"",O98*AA98)</f>
        <v/>
      </c>
      <c r="Z98" s="40"/>
      <c r="AA98" s="40"/>
      <c r="AB98" s="30" t="str">
        <f aca="false">IFERROR(X98/P98,"")</f>
        <v/>
      </c>
      <c r="AC98" s="41"/>
      <c r="AD98" s="41"/>
      <c r="AE98" s="44"/>
    </row>
    <row r="99" customFormat="false" ht="15" hidden="false" customHeight="true" outlineLevel="0" collapsed="false">
      <c r="A99" s="42"/>
      <c r="B99" s="42"/>
      <c r="C99" s="42"/>
      <c r="D99" s="42"/>
      <c r="E99" s="42"/>
      <c r="F99" s="42"/>
      <c r="G99" s="43"/>
      <c r="H99" s="36"/>
      <c r="I99" s="36"/>
      <c r="J99" s="36"/>
      <c r="K99" s="36"/>
      <c r="L99" s="36"/>
      <c r="M99" s="45"/>
      <c r="N99" s="45"/>
      <c r="O99" s="38"/>
      <c r="P99" s="38"/>
      <c r="Q99" s="25" t="str">
        <f aca="false">IF(OR(O99="",P99=""),"",O99-P99)</f>
        <v/>
      </c>
      <c r="R99" s="24"/>
      <c r="S99" s="37"/>
      <c r="T99" s="37"/>
      <c r="U99" s="38"/>
      <c r="V99" s="38"/>
      <c r="W99" s="38"/>
      <c r="X99" s="25" t="str">
        <f aca="false">IF(OR(U99="",V99=""),"",U99+V99)</f>
        <v/>
      </c>
      <c r="Y99" s="39" t="str">
        <f aca="false">IF(OR(O99="",AA99=""),"",O99*AA99)</f>
        <v/>
      </c>
      <c r="Z99" s="40"/>
      <c r="AA99" s="40"/>
      <c r="AB99" s="30" t="str">
        <f aca="false">IFERROR(X99/P99,"")</f>
        <v/>
      </c>
      <c r="AC99" s="41"/>
      <c r="AD99" s="41"/>
      <c r="AE99" s="44"/>
    </row>
    <row r="100" customFormat="false" ht="15" hidden="false" customHeight="true" outlineLevel="0" collapsed="false">
      <c r="A100" s="42"/>
      <c r="B100" s="42"/>
      <c r="C100" s="42"/>
      <c r="D100" s="42"/>
      <c r="E100" s="42"/>
      <c r="F100" s="42"/>
      <c r="G100" s="43"/>
      <c r="H100" s="36"/>
      <c r="I100" s="36"/>
      <c r="J100" s="36"/>
      <c r="K100" s="36"/>
      <c r="L100" s="36"/>
      <c r="M100" s="45"/>
      <c r="N100" s="45"/>
      <c r="O100" s="38"/>
      <c r="P100" s="38"/>
      <c r="Q100" s="25" t="str">
        <f aca="false">IF(OR(O100="",P100=""),"",O100-P100)</f>
        <v/>
      </c>
      <c r="R100" s="24"/>
      <c r="S100" s="37"/>
      <c r="T100" s="37"/>
      <c r="U100" s="38"/>
      <c r="V100" s="38"/>
      <c r="W100" s="38"/>
      <c r="X100" s="25" t="str">
        <f aca="false">IF(OR(U100="",V100=""),"",U100+V100)</f>
        <v/>
      </c>
      <c r="Y100" s="39" t="str">
        <f aca="false">IF(OR(O100="",AA100=""),"",O100*AA100)</f>
        <v/>
      </c>
      <c r="Z100" s="40"/>
      <c r="AA100" s="40"/>
      <c r="AB100" s="30" t="str">
        <f aca="false">IFERROR(X100/P100,"")</f>
        <v/>
      </c>
      <c r="AC100" s="41"/>
      <c r="AD100" s="41"/>
      <c r="AE100" s="44"/>
    </row>
    <row r="101" customFormat="false" ht="15" hidden="false" customHeight="true" outlineLevel="0" collapsed="false">
      <c r="A101" s="46"/>
      <c r="B101" s="46"/>
      <c r="C101" s="46"/>
      <c r="D101" s="46"/>
      <c r="E101" s="46"/>
      <c r="F101" s="46"/>
      <c r="G101" s="47"/>
      <c r="H101" s="48"/>
      <c r="I101" s="48"/>
      <c r="J101" s="48"/>
      <c r="K101" s="48"/>
      <c r="L101" s="48"/>
      <c r="M101" s="40"/>
      <c r="N101" s="40"/>
      <c r="O101" s="49"/>
      <c r="P101" s="49"/>
      <c r="Q101" s="25" t="str">
        <f aca="false">IF(OR(O101="",P101=""),"",O101-P101)</f>
        <v/>
      </c>
      <c r="R101" s="24"/>
      <c r="S101" s="50"/>
      <c r="T101" s="50"/>
      <c r="U101" s="49"/>
      <c r="V101" s="49"/>
      <c r="W101" s="49"/>
      <c r="X101" s="25" t="str">
        <f aca="false">IF(OR(U101="",V101=""),"",U101+V101)</f>
        <v/>
      </c>
      <c r="Y101" s="39" t="str">
        <f aca="false">IF(OR(O101="",AA101=""),"",O101*AA101)</f>
        <v/>
      </c>
      <c r="Z101" s="40"/>
      <c r="AA101" s="40"/>
      <c r="AB101" s="30" t="str">
        <f aca="false">IFERROR(X101/P101,"")</f>
        <v/>
      </c>
      <c r="AC101" s="44"/>
      <c r="AD101" s="44"/>
      <c r="AE101" s="44"/>
    </row>
    <row r="102" customFormat="false" ht="15" hidden="false" customHeight="true" outlineLevel="0" collapsed="false">
      <c r="A102" s="46"/>
      <c r="B102" s="46"/>
      <c r="C102" s="46"/>
      <c r="D102" s="46"/>
      <c r="E102" s="46"/>
      <c r="F102" s="46"/>
      <c r="G102" s="47"/>
      <c r="H102" s="48"/>
      <c r="I102" s="48"/>
      <c r="J102" s="48"/>
      <c r="K102" s="48"/>
      <c r="L102" s="48"/>
      <c r="M102" s="40"/>
      <c r="N102" s="40"/>
      <c r="O102" s="49"/>
      <c r="P102" s="49"/>
      <c r="Q102" s="25" t="str">
        <f aca="false">IF(OR(O102="",P102=""),"",O102-P102)</f>
        <v/>
      </c>
      <c r="R102" s="24"/>
      <c r="S102" s="50"/>
      <c r="T102" s="50"/>
      <c r="U102" s="49"/>
      <c r="V102" s="49"/>
      <c r="W102" s="49"/>
      <c r="X102" s="25" t="str">
        <f aca="false">IF(OR(U102="",V102=""),"",U102+V102)</f>
        <v/>
      </c>
      <c r="Y102" s="39" t="str">
        <f aca="false">IF(OR(O102="",AA102=""),"",O102*AA102)</f>
        <v/>
      </c>
      <c r="Z102" s="40"/>
      <c r="AA102" s="40"/>
      <c r="AB102" s="30" t="str">
        <f aca="false">IFERROR(X102/P102,"")</f>
        <v/>
      </c>
      <c r="AC102" s="44"/>
      <c r="AD102" s="44"/>
      <c r="AE102" s="44"/>
    </row>
    <row r="103" customFormat="false" ht="15" hidden="false" customHeight="true" outlineLevel="0" collapsed="false">
      <c r="A103" s="46"/>
      <c r="B103" s="46"/>
      <c r="C103" s="46"/>
      <c r="D103" s="46"/>
      <c r="E103" s="46"/>
      <c r="F103" s="46"/>
      <c r="G103" s="47"/>
      <c r="H103" s="48"/>
      <c r="I103" s="48"/>
      <c r="J103" s="48"/>
      <c r="K103" s="48"/>
      <c r="L103" s="48"/>
      <c r="M103" s="40"/>
      <c r="N103" s="40"/>
      <c r="O103" s="49"/>
      <c r="P103" s="49"/>
      <c r="Q103" s="25" t="str">
        <f aca="false">IF(OR(O103="",P103=""),"",O103-P103)</f>
        <v/>
      </c>
      <c r="R103" s="24"/>
      <c r="S103" s="50"/>
      <c r="T103" s="50"/>
      <c r="U103" s="49"/>
      <c r="V103" s="49"/>
      <c r="W103" s="49"/>
      <c r="X103" s="25" t="str">
        <f aca="false">IF(OR(U103="",V103=""),"",U103+V103)</f>
        <v/>
      </c>
      <c r="Y103" s="39" t="str">
        <f aca="false">IF(OR(O103="",AA103=""),"",O103*AA103)</f>
        <v/>
      </c>
      <c r="Z103" s="40"/>
      <c r="AA103" s="40"/>
      <c r="AB103" s="30" t="str">
        <f aca="false">IFERROR(X103/P103,"")</f>
        <v/>
      </c>
      <c r="AC103" s="44"/>
      <c r="AD103" s="44"/>
      <c r="AE103" s="44"/>
    </row>
    <row r="104" customFormat="false" ht="15" hidden="false" customHeight="true" outlineLevel="0" collapsed="false">
      <c r="A104" s="46"/>
      <c r="B104" s="46"/>
      <c r="C104" s="46"/>
      <c r="D104" s="46"/>
      <c r="E104" s="46"/>
      <c r="F104" s="46"/>
      <c r="G104" s="47"/>
      <c r="H104" s="48"/>
      <c r="I104" s="48"/>
      <c r="J104" s="48"/>
      <c r="K104" s="48"/>
      <c r="L104" s="48"/>
      <c r="M104" s="40"/>
      <c r="N104" s="40"/>
      <c r="O104" s="49"/>
      <c r="P104" s="49"/>
      <c r="Q104" s="25" t="str">
        <f aca="false">IF(OR(O104="",P104=""),"",O104-P104)</f>
        <v/>
      </c>
      <c r="R104" s="24"/>
      <c r="S104" s="50"/>
      <c r="T104" s="50"/>
      <c r="U104" s="49"/>
      <c r="V104" s="49"/>
      <c r="W104" s="49"/>
      <c r="X104" s="25" t="str">
        <f aca="false">IF(OR(U104="",V104=""),"",U104+V104)</f>
        <v/>
      </c>
      <c r="Y104" s="39" t="str">
        <f aca="false">IF(OR(O104="",AA104=""),"",O104*AA104)</f>
        <v/>
      </c>
      <c r="Z104" s="40"/>
      <c r="AA104" s="40"/>
      <c r="AB104" s="30" t="str">
        <f aca="false">IFERROR(X104/P104,"")</f>
        <v/>
      </c>
      <c r="AC104" s="44"/>
      <c r="AD104" s="44"/>
      <c r="AE104" s="44"/>
    </row>
    <row r="105" customFormat="false" ht="15" hidden="false" customHeight="true" outlineLevel="0" collapsed="false">
      <c r="A105" s="46"/>
      <c r="B105" s="46"/>
      <c r="C105" s="46"/>
      <c r="D105" s="46"/>
      <c r="E105" s="46"/>
      <c r="F105" s="46"/>
      <c r="G105" s="47"/>
      <c r="H105" s="48"/>
      <c r="I105" s="48"/>
      <c r="J105" s="48"/>
      <c r="K105" s="48"/>
      <c r="L105" s="48"/>
      <c r="M105" s="40"/>
      <c r="N105" s="40"/>
      <c r="O105" s="49"/>
      <c r="P105" s="49"/>
      <c r="Q105" s="25" t="str">
        <f aca="false">IF(OR(O105="",P105=""),"",O105-P105)</f>
        <v/>
      </c>
      <c r="R105" s="24"/>
      <c r="S105" s="50"/>
      <c r="T105" s="50"/>
      <c r="U105" s="49"/>
      <c r="V105" s="49"/>
      <c r="W105" s="49"/>
      <c r="X105" s="25" t="str">
        <f aca="false">IF(OR(U105="",V105=""),"",U105+V105)</f>
        <v/>
      </c>
      <c r="Y105" s="39" t="str">
        <f aca="false">IF(OR(O105="",AA105=""),"",O105*AA105)</f>
        <v/>
      </c>
      <c r="Z105" s="40"/>
      <c r="AA105" s="40"/>
      <c r="AB105" s="30" t="str">
        <f aca="false">IFERROR(X105/P105,"")</f>
        <v/>
      </c>
      <c r="AC105" s="44"/>
      <c r="AD105" s="44"/>
      <c r="AE105" s="44"/>
    </row>
    <row r="106" customFormat="false" ht="15" hidden="false" customHeight="true" outlineLevel="0" collapsed="false">
      <c r="A106" s="46"/>
      <c r="B106" s="46"/>
      <c r="C106" s="46"/>
      <c r="D106" s="46"/>
      <c r="E106" s="46"/>
      <c r="F106" s="46"/>
      <c r="G106" s="47"/>
      <c r="H106" s="48"/>
      <c r="I106" s="48"/>
      <c r="J106" s="48"/>
      <c r="K106" s="48"/>
      <c r="L106" s="48"/>
      <c r="M106" s="40"/>
      <c r="N106" s="40"/>
      <c r="O106" s="49"/>
      <c r="P106" s="49"/>
      <c r="Q106" s="25" t="str">
        <f aca="false">IF(OR(O106="",P106=""),"",O106-P106)</f>
        <v/>
      </c>
      <c r="R106" s="24"/>
      <c r="S106" s="50"/>
      <c r="T106" s="50"/>
      <c r="U106" s="49"/>
      <c r="V106" s="49"/>
      <c r="W106" s="49"/>
      <c r="X106" s="25" t="str">
        <f aca="false">IF(OR(U106="",V106=""),"",U106+V106)</f>
        <v/>
      </c>
      <c r="Y106" s="39" t="str">
        <f aca="false">IF(OR(O106="",AA106=""),"",O106*AA106)</f>
        <v/>
      </c>
      <c r="Z106" s="40"/>
      <c r="AA106" s="40"/>
      <c r="AB106" s="30" t="str">
        <f aca="false">IFERROR(X106/P106,"")</f>
        <v/>
      </c>
      <c r="AC106" s="44"/>
      <c r="AD106" s="44"/>
      <c r="AE106" s="44"/>
    </row>
    <row r="107" customFormat="false" ht="15" hidden="false" customHeight="true" outlineLevel="0" collapsed="false">
      <c r="A107" s="46"/>
      <c r="B107" s="46"/>
      <c r="C107" s="46"/>
      <c r="D107" s="46"/>
      <c r="E107" s="46"/>
      <c r="F107" s="46"/>
      <c r="G107" s="47"/>
      <c r="H107" s="48"/>
      <c r="I107" s="48"/>
      <c r="J107" s="48"/>
      <c r="K107" s="48"/>
      <c r="L107" s="48"/>
      <c r="M107" s="40"/>
      <c r="N107" s="40"/>
      <c r="O107" s="49"/>
      <c r="P107" s="49"/>
      <c r="Q107" s="25" t="str">
        <f aca="false">IF(OR(O107="",P107=""),"",O107-P107)</f>
        <v/>
      </c>
      <c r="R107" s="24"/>
      <c r="S107" s="50"/>
      <c r="T107" s="50"/>
      <c r="U107" s="49"/>
      <c r="V107" s="49"/>
      <c r="W107" s="49"/>
      <c r="X107" s="25" t="str">
        <f aca="false">IF(OR(U107="",V107=""),"",U107+V107)</f>
        <v/>
      </c>
      <c r="Y107" s="39" t="str">
        <f aca="false">IF(OR(O107="",AA107=""),"",O107*AA107)</f>
        <v/>
      </c>
      <c r="Z107" s="40"/>
      <c r="AA107" s="40"/>
      <c r="AB107" s="30" t="str">
        <f aca="false">IFERROR(X107/P107,"")</f>
        <v/>
      </c>
      <c r="AC107" s="44"/>
      <c r="AD107" s="44"/>
      <c r="AE107" s="44"/>
    </row>
    <row r="108" customFormat="false" ht="15" hidden="false" customHeight="true" outlineLevel="0" collapsed="false">
      <c r="A108" s="46"/>
      <c r="B108" s="46"/>
      <c r="C108" s="46"/>
      <c r="D108" s="46"/>
      <c r="E108" s="46"/>
      <c r="F108" s="46"/>
      <c r="G108" s="47"/>
      <c r="H108" s="48"/>
      <c r="I108" s="48"/>
      <c r="J108" s="48"/>
      <c r="K108" s="48"/>
      <c r="L108" s="48"/>
      <c r="M108" s="40"/>
      <c r="N108" s="40"/>
      <c r="O108" s="49"/>
      <c r="P108" s="49"/>
      <c r="Q108" s="25" t="str">
        <f aca="false">IF(OR(O108="",P108=""),"",O108-P108)</f>
        <v/>
      </c>
      <c r="R108" s="24"/>
      <c r="S108" s="50"/>
      <c r="T108" s="50"/>
      <c r="U108" s="49"/>
      <c r="V108" s="49"/>
      <c r="W108" s="49"/>
      <c r="X108" s="25" t="str">
        <f aca="false">IF(OR(U108="",V108=""),"",U108+V108)</f>
        <v/>
      </c>
      <c r="Y108" s="39" t="str">
        <f aca="false">IF(OR(O108="",AA108=""),"",O108*AA108)</f>
        <v/>
      </c>
      <c r="Z108" s="40"/>
      <c r="AA108" s="40"/>
      <c r="AB108" s="30" t="str">
        <f aca="false">IFERROR(X108/P108,"")</f>
        <v/>
      </c>
      <c r="AC108" s="44"/>
      <c r="AD108" s="44"/>
      <c r="AE108" s="44"/>
    </row>
    <row r="109" customFormat="false" ht="15" hidden="false" customHeight="true" outlineLevel="0" collapsed="false">
      <c r="A109" s="46"/>
      <c r="B109" s="46"/>
      <c r="C109" s="46"/>
      <c r="D109" s="46"/>
      <c r="E109" s="46"/>
      <c r="F109" s="46"/>
      <c r="G109" s="47"/>
      <c r="H109" s="48"/>
      <c r="I109" s="48"/>
      <c r="J109" s="48"/>
      <c r="K109" s="48"/>
      <c r="L109" s="48"/>
      <c r="M109" s="40"/>
      <c r="N109" s="40"/>
      <c r="O109" s="49"/>
      <c r="P109" s="49"/>
      <c r="Q109" s="25" t="str">
        <f aca="false">IF(OR(O109="",P109=""),"",O109-P109)</f>
        <v/>
      </c>
      <c r="R109" s="24"/>
      <c r="S109" s="50"/>
      <c r="T109" s="50"/>
      <c r="U109" s="49"/>
      <c r="V109" s="49"/>
      <c r="W109" s="49"/>
      <c r="X109" s="25" t="str">
        <f aca="false">IF(OR(U109="",V109=""),"",U109+V109)</f>
        <v/>
      </c>
      <c r="Y109" s="39" t="str">
        <f aca="false">IF(OR(O109="",AA109=""),"",O109*AA109)</f>
        <v/>
      </c>
      <c r="Z109" s="40"/>
      <c r="AA109" s="40"/>
      <c r="AB109" s="30" t="str">
        <f aca="false">IFERROR(X109/P109,"")</f>
        <v/>
      </c>
      <c r="AC109" s="44"/>
      <c r="AD109" s="44"/>
      <c r="AE109" s="44"/>
    </row>
    <row r="110" customFormat="false" ht="15" hidden="false" customHeight="true" outlineLevel="0" collapsed="false">
      <c r="A110" s="46"/>
      <c r="B110" s="46"/>
      <c r="C110" s="46"/>
      <c r="D110" s="46"/>
      <c r="E110" s="46"/>
      <c r="F110" s="46"/>
      <c r="G110" s="47"/>
      <c r="H110" s="48"/>
      <c r="I110" s="48"/>
      <c r="J110" s="48"/>
      <c r="K110" s="48"/>
      <c r="L110" s="48"/>
      <c r="M110" s="40"/>
      <c r="N110" s="40"/>
      <c r="O110" s="49"/>
      <c r="P110" s="49"/>
      <c r="Q110" s="25" t="str">
        <f aca="false">IF(OR(O110="",P110=""),"",O110-P110)</f>
        <v/>
      </c>
      <c r="R110" s="24"/>
      <c r="S110" s="50"/>
      <c r="T110" s="50"/>
      <c r="U110" s="49"/>
      <c r="V110" s="49"/>
      <c r="W110" s="49"/>
      <c r="X110" s="25" t="str">
        <f aca="false">IF(OR(U110="",V110=""),"",U110+V110)</f>
        <v/>
      </c>
      <c r="Y110" s="39" t="str">
        <f aca="false">IF(OR(O110="",AA110=""),"",O110*AA110)</f>
        <v/>
      </c>
      <c r="Z110" s="40"/>
      <c r="AA110" s="40"/>
      <c r="AB110" s="30" t="str">
        <f aca="false">IFERROR(X110/P110,"")</f>
        <v/>
      </c>
      <c r="AC110" s="44"/>
      <c r="AD110" s="44"/>
      <c r="AE110" s="44"/>
    </row>
    <row r="111" customFormat="false" ht="15" hidden="false" customHeight="true" outlineLevel="0" collapsed="false">
      <c r="A111" s="46"/>
      <c r="B111" s="46"/>
      <c r="C111" s="46"/>
      <c r="D111" s="46"/>
      <c r="E111" s="46"/>
      <c r="F111" s="46"/>
      <c r="G111" s="47"/>
      <c r="H111" s="48"/>
      <c r="I111" s="48"/>
      <c r="J111" s="48"/>
      <c r="K111" s="48"/>
      <c r="L111" s="48"/>
      <c r="M111" s="40"/>
      <c r="N111" s="40"/>
      <c r="O111" s="49"/>
      <c r="P111" s="49"/>
      <c r="Q111" s="25" t="str">
        <f aca="false">IF(OR(O111="",P111=""),"",O111-P111)</f>
        <v/>
      </c>
      <c r="R111" s="24"/>
      <c r="S111" s="50"/>
      <c r="T111" s="50"/>
      <c r="U111" s="49"/>
      <c r="V111" s="49"/>
      <c r="W111" s="49"/>
      <c r="X111" s="25" t="str">
        <f aca="false">IF(OR(U111="",V111=""),"",U111+V111)</f>
        <v/>
      </c>
      <c r="Y111" s="39" t="str">
        <f aca="false">IF(OR(O111="",AA111=""),"",O111*AA111)</f>
        <v/>
      </c>
      <c r="Z111" s="40"/>
      <c r="AA111" s="40"/>
      <c r="AB111" s="30" t="str">
        <f aca="false">IFERROR(X111/P111,"")</f>
        <v/>
      </c>
      <c r="AC111" s="44"/>
      <c r="AD111" s="44"/>
      <c r="AE111" s="44"/>
    </row>
    <row r="112" customFormat="false" ht="15" hidden="false" customHeight="true" outlineLevel="0" collapsed="false">
      <c r="A112" s="46"/>
      <c r="B112" s="46"/>
      <c r="C112" s="46"/>
      <c r="D112" s="46"/>
      <c r="E112" s="46"/>
      <c r="F112" s="46"/>
      <c r="G112" s="47"/>
      <c r="H112" s="48"/>
      <c r="I112" s="48"/>
      <c r="J112" s="48"/>
      <c r="K112" s="48"/>
      <c r="L112" s="48"/>
      <c r="M112" s="40"/>
      <c r="N112" s="40"/>
      <c r="O112" s="49"/>
      <c r="P112" s="49"/>
      <c r="Q112" s="25" t="str">
        <f aca="false">IF(OR(O112="",P112=""),"",O112-P112)</f>
        <v/>
      </c>
      <c r="R112" s="24"/>
      <c r="S112" s="50"/>
      <c r="T112" s="50"/>
      <c r="U112" s="49"/>
      <c r="V112" s="49"/>
      <c r="W112" s="49"/>
      <c r="X112" s="25" t="str">
        <f aca="false">IF(OR(U112="",V112=""),"",U112+V112)</f>
        <v/>
      </c>
      <c r="Y112" s="39" t="str">
        <f aca="false">IF(OR(O112="",AA112=""),"",O112*AA112)</f>
        <v/>
      </c>
      <c r="Z112" s="40"/>
      <c r="AA112" s="40"/>
      <c r="AB112" s="30" t="str">
        <f aca="false">IFERROR(X112/P112,"")</f>
        <v/>
      </c>
      <c r="AC112" s="44"/>
      <c r="AD112" s="44"/>
      <c r="AE112" s="44"/>
    </row>
    <row r="113" customFormat="false" ht="15" hidden="false" customHeight="true" outlineLevel="0" collapsed="false">
      <c r="A113" s="46"/>
      <c r="B113" s="46"/>
      <c r="C113" s="46"/>
      <c r="D113" s="46"/>
      <c r="E113" s="46"/>
      <c r="F113" s="46"/>
      <c r="G113" s="47"/>
      <c r="H113" s="48"/>
      <c r="I113" s="48"/>
      <c r="J113" s="48"/>
      <c r="K113" s="48"/>
      <c r="L113" s="48"/>
      <c r="M113" s="40"/>
      <c r="N113" s="40"/>
      <c r="O113" s="49"/>
      <c r="P113" s="49"/>
      <c r="Q113" s="25" t="str">
        <f aca="false">IF(OR(O113="",P113=""),"",O113-P113)</f>
        <v/>
      </c>
      <c r="R113" s="24"/>
      <c r="S113" s="50"/>
      <c r="T113" s="50"/>
      <c r="U113" s="49"/>
      <c r="V113" s="49"/>
      <c r="W113" s="49"/>
      <c r="X113" s="25" t="str">
        <f aca="false">IF(OR(U113="",V113=""),"",U113+V113)</f>
        <v/>
      </c>
      <c r="Y113" s="39" t="str">
        <f aca="false">IF(OR(O113="",AA113=""),"",O113*AA113)</f>
        <v/>
      </c>
      <c r="Z113" s="40"/>
      <c r="AA113" s="40"/>
      <c r="AB113" s="30" t="str">
        <f aca="false">IFERROR(X113/P113,"")</f>
        <v/>
      </c>
      <c r="AC113" s="44"/>
      <c r="AD113" s="44"/>
      <c r="AE113" s="44"/>
    </row>
    <row r="114" customFormat="false" ht="15" hidden="false" customHeight="true" outlineLevel="0" collapsed="false">
      <c r="A114" s="46"/>
      <c r="B114" s="46"/>
      <c r="C114" s="46"/>
      <c r="D114" s="46"/>
      <c r="E114" s="46"/>
      <c r="F114" s="46"/>
      <c r="G114" s="47"/>
      <c r="H114" s="48"/>
      <c r="I114" s="48"/>
      <c r="J114" s="48"/>
      <c r="K114" s="48"/>
      <c r="L114" s="48"/>
      <c r="M114" s="40"/>
      <c r="N114" s="40"/>
      <c r="O114" s="49"/>
      <c r="P114" s="49"/>
      <c r="Q114" s="25" t="str">
        <f aca="false">IF(OR(O114="",P114=""),"",O114-P114)</f>
        <v/>
      </c>
      <c r="R114" s="24"/>
      <c r="S114" s="50"/>
      <c r="T114" s="50"/>
      <c r="U114" s="49"/>
      <c r="V114" s="49"/>
      <c r="W114" s="49"/>
      <c r="X114" s="25" t="str">
        <f aca="false">IF(OR(U114="",V114=""),"",U114+V114)</f>
        <v/>
      </c>
      <c r="Y114" s="39" t="str">
        <f aca="false">IF(OR(O114="",AA114=""),"",O114*AA114)</f>
        <v/>
      </c>
      <c r="Z114" s="40"/>
      <c r="AA114" s="40"/>
      <c r="AB114" s="30" t="str">
        <f aca="false">IFERROR(X114/P114,"")</f>
        <v/>
      </c>
      <c r="AC114" s="44"/>
      <c r="AD114" s="44"/>
      <c r="AE114" s="44"/>
    </row>
    <row r="115" customFormat="false" ht="15" hidden="false" customHeight="true" outlineLevel="0" collapsed="false">
      <c r="A115" s="46"/>
      <c r="B115" s="46"/>
      <c r="C115" s="46"/>
      <c r="D115" s="46"/>
      <c r="E115" s="46"/>
      <c r="F115" s="46"/>
      <c r="G115" s="47"/>
      <c r="H115" s="48"/>
      <c r="I115" s="48"/>
      <c r="J115" s="48"/>
      <c r="K115" s="48"/>
      <c r="L115" s="48"/>
      <c r="M115" s="40"/>
      <c r="N115" s="40"/>
      <c r="O115" s="49"/>
      <c r="P115" s="49"/>
      <c r="Q115" s="25" t="str">
        <f aca="false">IF(OR(O115="",P115=""),"",O115-P115)</f>
        <v/>
      </c>
      <c r="R115" s="24"/>
      <c r="S115" s="50"/>
      <c r="T115" s="50"/>
      <c r="U115" s="49"/>
      <c r="V115" s="49"/>
      <c r="W115" s="49"/>
      <c r="X115" s="25" t="str">
        <f aca="false">IF(OR(U115="",V115=""),"",U115+V115)</f>
        <v/>
      </c>
      <c r="Y115" s="39" t="str">
        <f aca="false">IF(OR(O115="",AA115=""),"",O115*AA115)</f>
        <v/>
      </c>
      <c r="Z115" s="40"/>
      <c r="AA115" s="40"/>
      <c r="AB115" s="30" t="str">
        <f aca="false">IFERROR(X115/P115,"")</f>
        <v/>
      </c>
      <c r="AC115" s="44"/>
      <c r="AD115" s="44"/>
      <c r="AE115" s="44"/>
    </row>
    <row r="116" customFormat="false" ht="15" hidden="false" customHeight="true" outlineLevel="0" collapsed="false">
      <c r="A116" s="46"/>
      <c r="B116" s="46"/>
      <c r="C116" s="46"/>
      <c r="D116" s="46"/>
      <c r="E116" s="46"/>
      <c r="F116" s="46"/>
      <c r="G116" s="47"/>
      <c r="H116" s="48"/>
      <c r="I116" s="48"/>
      <c r="J116" s="48"/>
      <c r="K116" s="48"/>
      <c r="L116" s="48"/>
      <c r="M116" s="40"/>
      <c r="N116" s="40"/>
      <c r="O116" s="49"/>
      <c r="P116" s="49"/>
      <c r="Q116" s="25" t="str">
        <f aca="false">IF(OR(O116="",P116=""),"",O116-P116)</f>
        <v/>
      </c>
      <c r="R116" s="24"/>
      <c r="S116" s="50"/>
      <c r="T116" s="50"/>
      <c r="U116" s="49"/>
      <c r="V116" s="49"/>
      <c r="W116" s="49"/>
      <c r="X116" s="25" t="str">
        <f aca="false">IF(OR(U116="",V116=""),"",U116+V116)</f>
        <v/>
      </c>
      <c r="Y116" s="39" t="str">
        <f aca="false">IF(OR(O116="",AA116=""),"",O116*AA116)</f>
        <v/>
      </c>
      <c r="Z116" s="40"/>
      <c r="AA116" s="40"/>
      <c r="AB116" s="30" t="str">
        <f aca="false">IFERROR(X116/P116,"")</f>
        <v/>
      </c>
      <c r="AC116" s="44"/>
      <c r="AD116" s="44"/>
      <c r="AE116" s="44"/>
    </row>
    <row r="117" customFormat="false" ht="15" hidden="false" customHeight="true" outlineLevel="0" collapsed="false">
      <c r="A117" s="46"/>
      <c r="B117" s="46"/>
      <c r="C117" s="46"/>
      <c r="D117" s="46"/>
      <c r="E117" s="46"/>
      <c r="F117" s="46"/>
      <c r="G117" s="47"/>
      <c r="H117" s="48"/>
      <c r="I117" s="48"/>
      <c r="J117" s="48"/>
      <c r="K117" s="48"/>
      <c r="L117" s="48"/>
      <c r="M117" s="40"/>
      <c r="N117" s="40"/>
      <c r="O117" s="49"/>
      <c r="P117" s="49"/>
      <c r="Q117" s="25" t="str">
        <f aca="false">IF(OR(O117="",P117=""),"",O117-P117)</f>
        <v/>
      </c>
      <c r="R117" s="24"/>
      <c r="S117" s="50"/>
      <c r="T117" s="50"/>
      <c r="U117" s="49"/>
      <c r="V117" s="49"/>
      <c r="W117" s="49"/>
      <c r="X117" s="25" t="str">
        <f aca="false">IF(OR(U117="",V117=""),"",U117+V117)</f>
        <v/>
      </c>
      <c r="Y117" s="39" t="str">
        <f aca="false">IF(OR(O117="",AA117=""),"",O117*AA117)</f>
        <v/>
      </c>
      <c r="Z117" s="40"/>
      <c r="AA117" s="40"/>
      <c r="AB117" s="30" t="str">
        <f aca="false">IFERROR(X117/P117,"")</f>
        <v/>
      </c>
      <c r="AC117" s="44"/>
      <c r="AD117" s="44"/>
      <c r="AE117" s="44"/>
    </row>
    <row r="118" customFormat="false" ht="15" hidden="false" customHeight="true" outlineLevel="0" collapsed="false">
      <c r="A118" s="46"/>
      <c r="B118" s="46"/>
      <c r="C118" s="46"/>
      <c r="D118" s="46"/>
      <c r="E118" s="46"/>
      <c r="F118" s="46"/>
      <c r="G118" s="47"/>
      <c r="H118" s="48"/>
      <c r="I118" s="48"/>
      <c r="J118" s="48"/>
      <c r="K118" s="48"/>
      <c r="L118" s="48"/>
      <c r="M118" s="40"/>
      <c r="N118" s="40"/>
      <c r="O118" s="49"/>
      <c r="P118" s="49"/>
      <c r="Q118" s="25" t="str">
        <f aca="false">IF(OR(O118="",P118=""),"",O118-P118)</f>
        <v/>
      </c>
      <c r="R118" s="24"/>
      <c r="S118" s="50"/>
      <c r="T118" s="50"/>
      <c r="U118" s="49"/>
      <c r="V118" s="49"/>
      <c r="W118" s="49"/>
      <c r="X118" s="25" t="str">
        <f aca="false">IF(OR(U118="",V118=""),"",U118+V118)</f>
        <v/>
      </c>
      <c r="Y118" s="39" t="str">
        <f aca="false">IF(OR(O118="",AA118=""),"",O118*AA118)</f>
        <v/>
      </c>
      <c r="Z118" s="40"/>
      <c r="AA118" s="40"/>
      <c r="AB118" s="30" t="str">
        <f aca="false">IFERROR(X118/P118,"")</f>
        <v/>
      </c>
      <c r="AC118" s="44"/>
      <c r="AD118" s="44"/>
      <c r="AE118" s="44"/>
    </row>
    <row r="119" customFormat="false" ht="15" hidden="false" customHeight="true" outlineLevel="0" collapsed="false">
      <c r="A119" s="46"/>
      <c r="B119" s="46"/>
      <c r="C119" s="46"/>
      <c r="D119" s="46"/>
      <c r="E119" s="46"/>
      <c r="F119" s="46"/>
      <c r="G119" s="47"/>
      <c r="H119" s="48"/>
      <c r="I119" s="48"/>
      <c r="J119" s="48"/>
      <c r="K119" s="48"/>
      <c r="L119" s="48"/>
      <c r="M119" s="40"/>
      <c r="N119" s="40"/>
      <c r="O119" s="49"/>
      <c r="P119" s="49"/>
      <c r="Q119" s="25" t="str">
        <f aca="false">IF(OR(O119="",P119=""),"",O119-P119)</f>
        <v/>
      </c>
      <c r="R119" s="24"/>
      <c r="S119" s="50"/>
      <c r="T119" s="50"/>
      <c r="U119" s="49"/>
      <c r="V119" s="49"/>
      <c r="W119" s="49"/>
      <c r="X119" s="25" t="str">
        <f aca="false">IF(OR(U119="",V119=""),"",U119+V119)</f>
        <v/>
      </c>
      <c r="Y119" s="39" t="str">
        <f aca="false">IF(OR(O119="",AA119=""),"",O119*AA119)</f>
        <v/>
      </c>
      <c r="Z119" s="40"/>
      <c r="AA119" s="40"/>
      <c r="AB119" s="30" t="str">
        <f aca="false">IFERROR(X119/P119,"")</f>
        <v/>
      </c>
      <c r="AC119" s="44"/>
      <c r="AD119" s="44"/>
      <c r="AE119" s="44"/>
    </row>
    <row r="120" customFormat="false" ht="15" hidden="false" customHeight="true" outlineLevel="0" collapsed="false">
      <c r="A120" s="46"/>
      <c r="B120" s="46"/>
      <c r="C120" s="46"/>
      <c r="D120" s="46"/>
      <c r="E120" s="46"/>
      <c r="F120" s="46"/>
      <c r="G120" s="47"/>
      <c r="H120" s="48"/>
      <c r="I120" s="48"/>
      <c r="J120" s="48"/>
      <c r="K120" s="48"/>
      <c r="L120" s="48"/>
      <c r="M120" s="40"/>
      <c r="N120" s="40"/>
      <c r="O120" s="49"/>
      <c r="P120" s="49"/>
      <c r="Q120" s="25" t="str">
        <f aca="false">IF(OR(O120="",P120=""),"",O120-P120)</f>
        <v/>
      </c>
      <c r="R120" s="24"/>
      <c r="S120" s="50"/>
      <c r="T120" s="50"/>
      <c r="U120" s="49"/>
      <c r="V120" s="49"/>
      <c r="W120" s="49"/>
      <c r="X120" s="25" t="str">
        <f aca="false">IF(OR(U120="",V120=""),"",U120+V120)</f>
        <v/>
      </c>
      <c r="Y120" s="39" t="str">
        <f aca="false">IF(OR(O120="",AA120=""),"",O120*AA120)</f>
        <v/>
      </c>
      <c r="Z120" s="40"/>
      <c r="AA120" s="40"/>
      <c r="AB120" s="30" t="str">
        <f aca="false">IFERROR(X120/P120,"")</f>
        <v/>
      </c>
      <c r="AC120" s="44"/>
      <c r="AD120" s="44"/>
      <c r="AE120" s="44"/>
    </row>
    <row r="121" customFormat="false" ht="15" hidden="false" customHeight="true" outlineLevel="0" collapsed="false">
      <c r="A121" s="46"/>
      <c r="B121" s="46"/>
      <c r="C121" s="46"/>
      <c r="D121" s="46"/>
      <c r="E121" s="46"/>
      <c r="F121" s="46"/>
      <c r="G121" s="47"/>
      <c r="H121" s="48"/>
      <c r="I121" s="48"/>
      <c r="J121" s="48"/>
      <c r="K121" s="48"/>
      <c r="L121" s="48"/>
      <c r="M121" s="40"/>
      <c r="N121" s="40"/>
      <c r="O121" s="49"/>
      <c r="P121" s="49"/>
      <c r="Q121" s="25" t="str">
        <f aca="false">IF(OR(O121="",P121=""),"",O121-P121)</f>
        <v/>
      </c>
      <c r="R121" s="24"/>
      <c r="S121" s="50"/>
      <c r="T121" s="50"/>
      <c r="U121" s="49"/>
      <c r="V121" s="49"/>
      <c r="W121" s="49"/>
      <c r="X121" s="25" t="str">
        <f aca="false">IF(OR(U121="",V121=""),"",U121+V121)</f>
        <v/>
      </c>
      <c r="Y121" s="39" t="str">
        <f aca="false">IF(OR(O121="",AA121=""),"",O121*AA121)</f>
        <v/>
      </c>
      <c r="Z121" s="40"/>
      <c r="AA121" s="40"/>
      <c r="AB121" s="30" t="str">
        <f aca="false">IFERROR(X121/P121,"")</f>
        <v/>
      </c>
      <c r="AC121" s="44"/>
      <c r="AD121" s="44"/>
      <c r="AE121" s="44"/>
    </row>
    <row r="122" customFormat="false" ht="15" hidden="false" customHeight="true" outlineLevel="0" collapsed="false">
      <c r="A122" s="46"/>
      <c r="B122" s="46"/>
      <c r="C122" s="46"/>
      <c r="D122" s="46"/>
      <c r="E122" s="46"/>
      <c r="F122" s="46"/>
      <c r="G122" s="47"/>
      <c r="H122" s="48"/>
      <c r="I122" s="48"/>
      <c r="J122" s="48"/>
      <c r="K122" s="48"/>
      <c r="L122" s="48"/>
      <c r="M122" s="40"/>
      <c r="N122" s="40"/>
      <c r="O122" s="49"/>
      <c r="P122" s="49"/>
      <c r="Q122" s="25" t="str">
        <f aca="false">IF(OR(O122="",P122=""),"",O122-P122)</f>
        <v/>
      </c>
      <c r="R122" s="24"/>
      <c r="S122" s="50"/>
      <c r="T122" s="50"/>
      <c r="U122" s="49"/>
      <c r="V122" s="49"/>
      <c r="W122" s="49"/>
      <c r="X122" s="25" t="str">
        <f aca="false">IF(OR(U122="",V122=""),"",U122+V122)</f>
        <v/>
      </c>
      <c r="Y122" s="39" t="str">
        <f aca="false">IF(OR(O122="",AA122=""),"",O122*AA122)</f>
        <v/>
      </c>
      <c r="Z122" s="40"/>
      <c r="AA122" s="40"/>
      <c r="AB122" s="30" t="str">
        <f aca="false">IFERROR(X122/P122,"")</f>
        <v/>
      </c>
      <c r="AC122" s="44"/>
      <c r="AD122" s="44"/>
      <c r="AE122" s="44"/>
    </row>
    <row r="123" customFormat="false" ht="15" hidden="false" customHeight="true" outlineLevel="0" collapsed="false">
      <c r="A123" s="46"/>
      <c r="B123" s="46"/>
      <c r="C123" s="46"/>
      <c r="D123" s="46"/>
      <c r="E123" s="46"/>
      <c r="F123" s="46"/>
      <c r="G123" s="47"/>
      <c r="H123" s="48"/>
      <c r="I123" s="48"/>
      <c r="J123" s="48"/>
      <c r="K123" s="48"/>
      <c r="L123" s="48"/>
      <c r="M123" s="40"/>
      <c r="N123" s="40"/>
      <c r="O123" s="49"/>
      <c r="P123" s="49"/>
      <c r="Q123" s="25" t="str">
        <f aca="false">IF(OR(O123="",P123=""),"",O123-P123)</f>
        <v/>
      </c>
      <c r="R123" s="24"/>
      <c r="S123" s="50"/>
      <c r="T123" s="50"/>
      <c r="U123" s="49"/>
      <c r="V123" s="49"/>
      <c r="W123" s="49"/>
      <c r="X123" s="25" t="str">
        <f aca="false">IF(OR(U123="",V123=""),"",U123+V123)</f>
        <v/>
      </c>
      <c r="Y123" s="39" t="str">
        <f aca="false">IF(OR(O123="",AA123=""),"",O123*AA123)</f>
        <v/>
      </c>
      <c r="Z123" s="40"/>
      <c r="AA123" s="40"/>
      <c r="AB123" s="30" t="str">
        <f aca="false">IFERROR(X123/P123,"")</f>
        <v/>
      </c>
      <c r="AC123" s="44"/>
      <c r="AD123" s="44"/>
      <c r="AE123" s="44"/>
    </row>
    <row r="124" customFormat="false" ht="15" hidden="false" customHeight="true" outlineLevel="0" collapsed="false">
      <c r="A124" s="46"/>
      <c r="B124" s="46"/>
      <c r="C124" s="46"/>
      <c r="D124" s="46"/>
      <c r="E124" s="46"/>
      <c r="F124" s="46"/>
      <c r="G124" s="47"/>
      <c r="H124" s="48"/>
      <c r="I124" s="48"/>
      <c r="J124" s="48"/>
      <c r="K124" s="48"/>
      <c r="L124" s="48"/>
      <c r="M124" s="40"/>
      <c r="N124" s="40"/>
      <c r="O124" s="49"/>
      <c r="P124" s="49"/>
      <c r="Q124" s="25" t="str">
        <f aca="false">IF(OR(O124="",P124=""),"",O124-P124)</f>
        <v/>
      </c>
      <c r="R124" s="24"/>
      <c r="S124" s="50"/>
      <c r="T124" s="50"/>
      <c r="U124" s="49"/>
      <c r="V124" s="49"/>
      <c r="W124" s="49"/>
      <c r="X124" s="25" t="str">
        <f aca="false">IF(OR(U124="",V124=""),"",U124+V124)</f>
        <v/>
      </c>
      <c r="Y124" s="39" t="str">
        <f aca="false">IF(OR(O124="",AA124=""),"",O124*AA124)</f>
        <v/>
      </c>
      <c r="Z124" s="40"/>
      <c r="AA124" s="40"/>
      <c r="AB124" s="30" t="str">
        <f aca="false">IFERROR(X124/P124,"")</f>
        <v/>
      </c>
      <c r="AC124" s="44"/>
      <c r="AD124" s="44"/>
      <c r="AE124" s="44"/>
    </row>
    <row r="125" customFormat="false" ht="15" hidden="false" customHeight="true" outlineLevel="0" collapsed="false">
      <c r="A125" s="46"/>
      <c r="B125" s="46"/>
      <c r="C125" s="46"/>
      <c r="D125" s="46"/>
      <c r="E125" s="46"/>
      <c r="F125" s="46"/>
      <c r="G125" s="47"/>
      <c r="H125" s="48"/>
      <c r="I125" s="48"/>
      <c r="J125" s="48"/>
      <c r="K125" s="48"/>
      <c r="L125" s="48"/>
      <c r="M125" s="40"/>
      <c r="N125" s="40"/>
      <c r="O125" s="49"/>
      <c r="P125" s="49"/>
      <c r="Q125" s="25" t="str">
        <f aca="false">IF(OR(O125="",P125=""),"",O125-P125)</f>
        <v/>
      </c>
      <c r="R125" s="24"/>
      <c r="S125" s="50"/>
      <c r="T125" s="50"/>
      <c r="U125" s="49"/>
      <c r="V125" s="49"/>
      <c r="W125" s="49"/>
      <c r="X125" s="25" t="str">
        <f aca="false">IF(OR(U125="",V125=""),"",U125+V125)</f>
        <v/>
      </c>
      <c r="Y125" s="39" t="str">
        <f aca="false">IF(OR(O125="",AA125=""),"",O125*AA125)</f>
        <v/>
      </c>
      <c r="Z125" s="40"/>
      <c r="AA125" s="40"/>
      <c r="AB125" s="30" t="str">
        <f aca="false">IFERROR(X125/P125,"")</f>
        <v/>
      </c>
      <c r="AC125" s="44"/>
      <c r="AD125" s="44"/>
      <c r="AE125" s="44"/>
    </row>
    <row r="126" customFormat="false" ht="15" hidden="false" customHeight="true" outlineLevel="0" collapsed="false">
      <c r="A126" s="46"/>
      <c r="B126" s="46"/>
      <c r="C126" s="46"/>
      <c r="D126" s="46"/>
      <c r="E126" s="46"/>
      <c r="F126" s="46"/>
      <c r="G126" s="47"/>
      <c r="H126" s="48"/>
      <c r="I126" s="48"/>
      <c r="J126" s="48"/>
      <c r="K126" s="48"/>
      <c r="L126" s="48"/>
      <c r="M126" s="40"/>
      <c r="N126" s="40"/>
      <c r="O126" s="49"/>
      <c r="P126" s="49"/>
      <c r="Q126" s="25" t="str">
        <f aca="false">IF(OR(O126="",P126=""),"",O126-P126)</f>
        <v/>
      </c>
      <c r="R126" s="24"/>
      <c r="S126" s="50"/>
      <c r="T126" s="50"/>
      <c r="U126" s="49"/>
      <c r="V126" s="49"/>
      <c r="W126" s="49"/>
      <c r="X126" s="25" t="str">
        <f aca="false">IF(OR(U126="",V126=""),"",U126+V126)</f>
        <v/>
      </c>
      <c r="Y126" s="39" t="str">
        <f aca="false">IF(OR(O126="",AA126=""),"",O126*AA126)</f>
        <v/>
      </c>
      <c r="Z126" s="40"/>
      <c r="AA126" s="40"/>
      <c r="AB126" s="30" t="str">
        <f aca="false">IFERROR(X126/P126,"")</f>
        <v/>
      </c>
      <c r="AC126" s="44"/>
      <c r="AD126" s="44"/>
      <c r="AE126" s="44"/>
    </row>
    <row r="127" customFormat="false" ht="15" hidden="false" customHeight="true" outlineLevel="0" collapsed="false">
      <c r="A127" s="46"/>
      <c r="B127" s="46"/>
      <c r="C127" s="46"/>
      <c r="D127" s="46"/>
      <c r="E127" s="46"/>
      <c r="F127" s="46"/>
      <c r="G127" s="47"/>
      <c r="H127" s="48"/>
      <c r="I127" s="48"/>
      <c r="J127" s="48"/>
      <c r="K127" s="48"/>
      <c r="L127" s="48"/>
      <c r="M127" s="40"/>
      <c r="N127" s="40"/>
      <c r="O127" s="49"/>
      <c r="P127" s="49"/>
      <c r="Q127" s="25" t="str">
        <f aca="false">IF(OR(O127="",P127=""),"",O127-P127)</f>
        <v/>
      </c>
      <c r="R127" s="24"/>
      <c r="S127" s="50"/>
      <c r="T127" s="50"/>
      <c r="U127" s="49"/>
      <c r="V127" s="49"/>
      <c r="W127" s="49"/>
      <c r="X127" s="25" t="str">
        <f aca="false">IF(OR(U127="",V127=""),"",U127+V127)</f>
        <v/>
      </c>
      <c r="Y127" s="39" t="str">
        <f aca="false">IF(OR(O127="",AA127=""),"",O127*AA127)</f>
        <v/>
      </c>
      <c r="Z127" s="40"/>
      <c r="AA127" s="40"/>
      <c r="AB127" s="30" t="str">
        <f aca="false">IFERROR(X127/P127,"")</f>
        <v/>
      </c>
      <c r="AC127" s="44"/>
      <c r="AD127" s="44"/>
      <c r="AE127" s="44"/>
    </row>
    <row r="128" customFormat="false" ht="15" hidden="false" customHeight="true" outlineLevel="0" collapsed="false">
      <c r="A128" s="46"/>
      <c r="B128" s="46"/>
      <c r="C128" s="46"/>
      <c r="D128" s="46"/>
      <c r="E128" s="46"/>
      <c r="F128" s="46"/>
      <c r="G128" s="47"/>
      <c r="H128" s="48"/>
      <c r="I128" s="48"/>
      <c r="J128" s="48"/>
      <c r="K128" s="48"/>
      <c r="L128" s="48"/>
      <c r="M128" s="40"/>
      <c r="N128" s="40"/>
      <c r="O128" s="49"/>
      <c r="P128" s="49"/>
      <c r="Q128" s="25" t="str">
        <f aca="false">IF(OR(O128="",P128=""),"",O128-P128)</f>
        <v/>
      </c>
      <c r="R128" s="24"/>
      <c r="S128" s="50"/>
      <c r="T128" s="50"/>
      <c r="U128" s="49"/>
      <c r="V128" s="49"/>
      <c r="W128" s="49"/>
      <c r="X128" s="25" t="str">
        <f aca="false">IF(OR(U128="",V128=""),"",U128+V128)</f>
        <v/>
      </c>
      <c r="Y128" s="39" t="str">
        <f aca="false">IF(OR(O128="",AA128=""),"",O128*AA128)</f>
        <v/>
      </c>
      <c r="Z128" s="40"/>
      <c r="AA128" s="40"/>
      <c r="AB128" s="30" t="str">
        <f aca="false">IFERROR(X128/P128,"")</f>
        <v/>
      </c>
      <c r="AC128" s="44"/>
      <c r="AD128" s="44"/>
      <c r="AE128" s="44"/>
    </row>
    <row r="129" customFormat="false" ht="15" hidden="false" customHeight="true" outlineLevel="0" collapsed="false">
      <c r="A129" s="46"/>
      <c r="B129" s="46"/>
      <c r="C129" s="46"/>
      <c r="D129" s="46"/>
      <c r="E129" s="46"/>
      <c r="F129" s="46"/>
      <c r="G129" s="47"/>
      <c r="H129" s="48"/>
      <c r="I129" s="48"/>
      <c r="J129" s="48"/>
      <c r="K129" s="48"/>
      <c r="L129" s="48"/>
      <c r="M129" s="40"/>
      <c r="N129" s="40"/>
      <c r="O129" s="49"/>
      <c r="P129" s="49"/>
      <c r="Q129" s="25" t="str">
        <f aca="false">IF(OR(O129="",P129=""),"",O129-P129)</f>
        <v/>
      </c>
      <c r="R129" s="24"/>
      <c r="S129" s="50"/>
      <c r="T129" s="50"/>
      <c r="U129" s="49"/>
      <c r="V129" s="49"/>
      <c r="W129" s="49"/>
      <c r="X129" s="25" t="str">
        <f aca="false">IF(OR(U129="",V129=""),"",U129+V129)</f>
        <v/>
      </c>
      <c r="Y129" s="39" t="str">
        <f aca="false">IF(OR(O129="",AA129=""),"",O129*AA129)</f>
        <v/>
      </c>
      <c r="Z129" s="40"/>
      <c r="AA129" s="40"/>
      <c r="AB129" s="30" t="str">
        <f aca="false">IFERROR(X129/P129,"")</f>
        <v/>
      </c>
      <c r="AC129" s="44"/>
      <c r="AD129" s="44"/>
      <c r="AE129" s="44"/>
    </row>
    <row r="130" customFormat="false" ht="15" hidden="false" customHeight="true" outlineLevel="0" collapsed="false">
      <c r="A130" s="46"/>
      <c r="B130" s="46"/>
      <c r="C130" s="46"/>
      <c r="D130" s="46"/>
      <c r="E130" s="46"/>
      <c r="F130" s="46"/>
      <c r="G130" s="47"/>
      <c r="H130" s="48"/>
      <c r="I130" s="48"/>
      <c r="J130" s="48"/>
      <c r="K130" s="48"/>
      <c r="L130" s="48"/>
      <c r="M130" s="40"/>
      <c r="N130" s="40"/>
      <c r="O130" s="49"/>
      <c r="P130" s="49"/>
      <c r="Q130" s="25" t="str">
        <f aca="false">IF(OR(O130="",P130=""),"",O130-P130)</f>
        <v/>
      </c>
      <c r="R130" s="24"/>
      <c r="S130" s="50"/>
      <c r="T130" s="50"/>
      <c r="U130" s="49"/>
      <c r="V130" s="49"/>
      <c r="W130" s="49"/>
      <c r="X130" s="25" t="str">
        <f aca="false">IF(OR(U130="",V130=""),"",U130+V130)</f>
        <v/>
      </c>
      <c r="Y130" s="39" t="str">
        <f aca="false">IF(OR(O130="",AA130=""),"",O130*AA130)</f>
        <v/>
      </c>
      <c r="Z130" s="40"/>
      <c r="AA130" s="40"/>
      <c r="AB130" s="30" t="str">
        <f aca="false">IFERROR(X130/P130,"")</f>
        <v/>
      </c>
      <c r="AC130" s="44"/>
      <c r="AD130" s="44"/>
      <c r="AE130" s="44"/>
    </row>
    <row r="131" customFormat="false" ht="15" hidden="false" customHeight="true" outlineLevel="0" collapsed="false">
      <c r="A131" s="46"/>
      <c r="B131" s="46"/>
      <c r="C131" s="46"/>
      <c r="D131" s="46"/>
      <c r="E131" s="46"/>
      <c r="F131" s="46"/>
      <c r="G131" s="47"/>
      <c r="H131" s="48"/>
      <c r="I131" s="48"/>
      <c r="J131" s="48"/>
      <c r="K131" s="48"/>
      <c r="L131" s="48"/>
      <c r="M131" s="40"/>
      <c r="N131" s="40"/>
      <c r="O131" s="49"/>
      <c r="P131" s="49"/>
      <c r="Q131" s="25" t="str">
        <f aca="false">IF(OR(O131="",P131=""),"",O131-P131)</f>
        <v/>
      </c>
      <c r="R131" s="24"/>
      <c r="S131" s="50"/>
      <c r="T131" s="50"/>
      <c r="U131" s="49"/>
      <c r="V131" s="49"/>
      <c r="W131" s="49"/>
      <c r="X131" s="25" t="str">
        <f aca="false">IF(OR(U131="",V131=""),"",U131+V131)</f>
        <v/>
      </c>
      <c r="Y131" s="39" t="str">
        <f aca="false">IF(OR(O131="",AA131=""),"",O131*AA131)</f>
        <v/>
      </c>
      <c r="Z131" s="40"/>
      <c r="AA131" s="40"/>
      <c r="AB131" s="30" t="str">
        <f aca="false">IFERROR(X131/P131,"")</f>
        <v/>
      </c>
      <c r="AC131" s="44"/>
      <c r="AD131" s="44"/>
      <c r="AE131" s="44"/>
    </row>
    <row r="132" customFormat="false" ht="15" hidden="false" customHeight="true" outlineLevel="0" collapsed="false">
      <c r="A132" s="46"/>
      <c r="B132" s="46"/>
      <c r="C132" s="46"/>
      <c r="D132" s="46"/>
      <c r="E132" s="46"/>
      <c r="F132" s="46"/>
      <c r="G132" s="47"/>
      <c r="H132" s="48"/>
      <c r="I132" s="48"/>
      <c r="J132" s="48"/>
      <c r="K132" s="48"/>
      <c r="L132" s="48"/>
      <c r="M132" s="40"/>
      <c r="N132" s="40"/>
      <c r="O132" s="49"/>
      <c r="P132" s="49"/>
      <c r="Q132" s="25" t="str">
        <f aca="false">IF(OR(O132="",P132=""),"",O132-P132)</f>
        <v/>
      </c>
      <c r="R132" s="24"/>
      <c r="S132" s="50"/>
      <c r="T132" s="50"/>
      <c r="U132" s="49"/>
      <c r="V132" s="49"/>
      <c r="W132" s="49"/>
      <c r="X132" s="25" t="str">
        <f aca="false">IF(OR(U132="",V132=""),"",U132+V132)</f>
        <v/>
      </c>
      <c r="Y132" s="39" t="str">
        <f aca="false">IF(OR(O132="",AA132=""),"",O132*AA132)</f>
        <v/>
      </c>
      <c r="Z132" s="40"/>
      <c r="AA132" s="40"/>
      <c r="AB132" s="30" t="str">
        <f aca="false">IFERROR(X132/P132,"")</f>
        <v/>
      </c>
      <c r="AC132" s="44"/>
      <c r="AD132" s="44"/>
      <c r="AE132" s="44"/>
    </row>
    <row r="133" customFormat="false" ht="15" hidden="false" customHeight="true" outlineLevel="0" collapsed="false">
      <c r="A133" s="46"/>
      <c r="B133" s="46"/>
      <c r="C133" s="46"/>
      <c r="D133" s="46"/>
      <c r="E133" s="46"/>
      <c r="F133" s="46"/>
      <c r="G133" s="47"/>
      <c r="H133" s="48"/>
      <c r="I133" s="48"/>
      <c r="J133" s="48"/>
      <c r="K133" s="48"/>
      <c r="L133" s="48"/>
      <c r="M133" s="40"/>
      <c r="N133" s="40"/>
      <c r="O133" s="49"/>
      <c r="P133" s="49"/>
      <c r="Q133" s="25" t="str">
        <f aca="false">IF(OR(O133="",P133=""),"",O133-P133)</f>
        <v/>
      </c>
      <c r="R133" s="24"/>
      <c r="S133" s="50"/>
      <c r="T133" s="50"/>
      <c r="U133" s="49"/>
      <c r="V133" s="49"/>
      <c r="W133" s="49"/>
      <c r="X133" s="25" t="str">
        <f aca="false">IF(OR(U133="",V133=""),"",U133+V133)</f>
        <v/>
      </c>
      <c r="Y133" s="39" t="str">
        <f aca="false">IF(OR(O133="",AA133=""),"",O133*AA133)</f>
        <v/>
      </c>
      <c r="Z133" s="40"/>
      <c r="AA133" s="40"/>
      <c r="AB133" s="30" t="str">
        <f aca="false">IFERROR(X133/P133,"")</f>
        <v/>
      </c>
      <c r="AC133" s="44"/>
      <c r="AD133" s="44"/>
      <c r="AE133" s="44"/>
    </row>
    <row r="134" customFormat="false" ht="15" hidden="false" customHeight="true" outlineLevel="0" collapsed="false">
      <c r="A134" s="46"/>
      <c r="B134" s="46"/>
      <c r="C134" s="46"/>
      <c r="D134" s="46"/>
      <c r="E134" s="46"/>
      <c r="F134" s="46"/>
      <c r="G134" s="47"/>
      <c r="H134" s="48"/>
      <c r="I134" s="48"/>
      <c r="J134" s="48"/>
      <c r="K134" s="48"/>
      <c r="L134" s="48"/>
      <c r="M134" s="40"/>
      <c r="N134" s="40"/>
      <c r="O134" s="49"/>
      <c r="P134" s="49"/>
      <c r="Q134" s="25" t="str">
        <f aca="false">IF(OR(O134="",P134=""),"",O134-P134)</f>
        <v/>
      </c>
      <c r="R134" s="24"/>
      <c r="S134" s="50"/>
      <c r="T134" s="50"/>
      <c r="U134" s="49"/>
      <c r="V134" s="49"/>
      <c r="W134" s="49"/>
      <c r="X134" s="25" t="str">
        <f aca="false">IF(OR(U134="",V134=""),"",U134+V134)</f>
        <v/>
      </c>
      <c r="Y134" s="39" t="str">
        <f aca="false">IF(OR(O134="",AA134=""),"",O134*AA134)</f>
        <v/>
      </c>
      <c r="Z134" s="40"/>
      <c r="AA134" s="40"/>
      <c r="AB134" s="30" t="str">
        <f aca="false">IFERROR(X134/P134,"")</f>
        <v/>
      </c>
      <c r="AC134" s="44"/>
      <c r="AD134" s="44"/>
      <c r="AE134" s="44"/>
    </row>
    <row r="135" customFormat="false" ht="15" hidden="false" customHeight="true" outlineLevel="0" collapsed="false">
      <c r="A135" s="46"/>
      <c r="B135" s="46"/>
      <c r="C135" s="46"/>
      <c r="D135" s="46"/>
      <c r="E135" s="46"/>
      <c r="F135" s="46"/>
      <c r="G135" s="47"/>
      <c r="H135" s="48"/>
      <c r="I135" s="48"/>
      <c r="J135" s="48"/>
      <c r="K135" s="48"/>
      <c r="L135" s="48"/>
      <c r="M135" s="40"/>
      <c r="N135" s="40"/>
      <c r="O135" s="49"/>
      <c r="P135" s="49"/>
      <c r="Q135" s="25" t="str">
        <f aca="false">IF(OR(O135="",P135=""),"",O135-P135)</f>
        <v/>
      </c>
      <c r="R135" s="24"/>
      <c r="S135" s="50"/>
      <c r="T135" s="50"/>
      <c r="U135" s="49"/>
      <c r="V135" s="49"/>
      <c r="W135" s="49"/>
      <c r="X135" s="25" t="str">
        <f aca="false">IF(OR(U135="",V135=""),"",U135+V135)</f>
        <v/>
      </c>
      <c r="Y135" s="39" t="str">
        <f aca="false">IF(OR(O135="",AA135=""),"",O135*AA135)</f>
        <v/>
      </c>
      <c r="Z135" s="40"/>
      <c r="AA135" s="40"/>
      <c r="AB135" s="30" t="str">
        <f aca="false">IFERROR(X135/P135,"")</f>
        <v/>
      </c>
      <c r="AC135" s="44"/>
      <c r="AD135" s="44"/>
      <c r="AE135" s="44"/>
    </row>
    <row r="136" customFormat="false" ht="15" hidden="false" customHeight="true" outlineLevel="0" collapsed="false">
      <c r="A136" s="46"/>
      <c r="B136" s="46"/>
      <c r="C136" s="46"/>
      <c r="D136" s="46"/>
      <c r="E136" s="46"/>
      <c r="F136" s="46"/>
      <c r="G136" s="47"/>
      <c r="H136" s="48"/>
      <c r="I136" s="48"/>
      <c r="J136" s="48"/>
      <c r="K136" s="48"/>
      <c r="L136" s="48"/>
      <c r="M136" s="40"/>
      <c r="N136" s="40"/>
      <c r="O136" s="49"/>
      <c r="P136" s="49"/>
      <c r="Q136" s="25" t="str">
        <f aca="false">IF(OR(O136="",P136=""),"",O136-P136)</f>
        <v/>
      </c>
      <c r="R136" s="24"/>
      <c r="S136" s="50"/>
      <c r="T136" s="50"/>
      <c r="U136" s="49"/>
      <c r="V136" s="49"/>
      <c r="W136" s="49"/>
      <c r="X136" s="25" t="str">
        <f aca="false">IF(OR(U136="",V136=""),"",U136+V136)</f>
        <v/>
      </c>
      <c r="Y136" s="39" t="str">
        <f aca="false">IF(OR(O136="",AA136=""),"",O136*AA136)</f>
        <v/>
      </c>
      <c r="Z136" s="40"/>
      <c r="AA136" s="40"/>
      <c r="AB136" s="30" t="str">
        <f aca="false">IFERROR(X136/P136,"")</f>
        <v/>
      </c>
      <c r="AC136" s="44"/>
      <c r="AD136" s="44"/>
      <c r="AE136" s="44"/>
    </row>
    <row r="137" customFormat="false" ht="15" hidden="false" customHeight="true" outlineLevel="0" collapsed="false">
      <c r="A137" s="46"/>
      <c r="B137" s="46"/>
      <c r="C137" s="46"/>
      <c r="D137" s="46"/>
      <c r="E137" s="46"/>
      <c r="F137" s="46"/>
      <c r="G137" s="47"/>
      <c r="H137" s="48"/>
      <c r="I137" s="48"/>
      <c r="J137" s="48"/>
      <c r="K137" s="48"/>
      <c r="L137" s="48"/>
      <c r="M137" s="40"/>
      <c r="N137" s="40"/>
      <c r="O137" s="49"/>
      <c r="P137" s="49"/>
      <c r="Q137" s="25" t="str">
        <f aca="false">IF(OR(O137="",P137=""),"",O137-P137)</f>
        <v/>
      </c>
      <c r="R137" s="24"/>
      <c r="S137" s="50"/>
      <c r="T137" s="50"/>
      <c r="U137" s="49"/>
      <c r="V137" s="49"/>
      <c r="W137" s="49"/>
      <c r="X137" s="25" t="str">
        <f aca="false">IF(OR(U137="",V137=""),"",U137+V137)</f>
        <v/>
      </c>
      <c r="Y137" s="39" t="str">
        <f aca="false">IF(OR(O137="",AA137=""),"",O137*AA137)</f>
        <v/>
      </c>
      <c r="Z137" s="40"/>
      <c r="AA137" s="40"/>
      <c r="AB137" s="30" t="str">
        <f aca="false">IFERROR(X137/P137,"")</f>
        <v/>
      </c>
      <c r="AC137" s="44"/>
      <c r="AD137" s="44"/>
      <c r="AE137" s="44"/>
    </row>
    <row r="138" customFormat="false" ht="15" hidden="false" customHeight="true" outlineLevel="0" collapsed="false">
      <c r="A138" s="46"/>
      <c r="B138" s="46"/>
      <c r="C138" s="46"/>
      <c r="D138" s="46"/>
      <c r="E138" s="46"/>
      <c r="F138" s="46"/>
      <c r="G138" s="47"/>
      <c r="H138" s="48"/>
      <c r="I138" s="48"/>
      <c r="J138" s="48"/>
      <c r="K138" s="48"/>
      <c r="L138" s="48"/>
      <c r="M138" s="40"/>
      <c r="N138" s="40"/>
      <c r="O138" s="49"/>
      <c r="P138" s="49"/>
      <c r="Q138" s="25" t="str">
        <f aca="false">IF(OR(O138="",P138=""),"",O138-P138)</f>
        <v/>
      </c>
      <c r="R138" s="24"/>
      <c r="S138" s="50"/>
      <c r="T138" s="50"/>
      <c r="U138" s="49"/>
      <c r="V138" s="49"/>
      <c r="W138" s="49"/>
      <c r="X138" s="25" t="str">
        <f aca="false">IF(OR(U138="",V138=""),"",U138+V138)</f>
        <v/>
      </c>
      <c r="Y138" s="39" t="str">
        <f aca="false">IF(OR(O138="",AA138=""),"",O138*AA138)</f>
        <v/>
      </c>
      <c r="Z138" s="40"/>
      <c r="AA138" s="40"/>
      <c r="AB138" s="30" t="str">
        <f aca="false">IFERROR(X138/P138,"")</f>
        <v/>
      </c>
      <c r="AC138" s="44"/>
      <c r="AD138" s="44"/>
      <c r="AE138" s="44"/>
    </row>
    <row r="139" customFormat="false" ht="15" hidden="false" customHeight="true" outlineLevel="0" collapsed="false">
      <c r="A139" s="46"/>
      <c r="B139" s="46"/>
      <c r="C139" s="46"/>
      <c r="D139" s="46"/>
      <c r="E139" s="46"/>
      <c r="F139" s="46"/>
      <c r="G139" s="47"/>
      <c r="H139" s="48"/>
      <c r="I139" s="48"/>
      <c r="J139" s="48"/>
      <c r="K139" s="48"/>
      <c r="L139" s="48"/>
      <c r="M139" s="40"/>
      <c r="N139" s="40"/>
      <c r="O139" s="49"/>
      <c r="P139" s="49"/>
      <c r="Q139" s="25" t="str">
        <f aca="false">IF(OR(O139="",P139=""),"",O139-P139)</f>
        <v/>
      </c>
      <c r="R139" s="24"/>
      <c r="S139" s="50"/>
      <c r="T139" s="50"/>
      <c r="U139" s="49"/>
      <c r="V139" s="49"/>
      <c r="W139" s="49"/>
      <c r="X139" s="25" t="str">
        <f aca="false">IF(OR(U139="",V139=""),"",U139+V139)</f>
        <v/>
      </c>
      <c r="Y139" s="39" t="str">
        <f aca="false">IF(OR(O139="",AA139=""),"",O139*AA139)</f>
        <v/>
      </c>
      <c r="Z139" s="40"/>
      <c r="AA139" s="40"/>
      <c r="AB139" s="30" t="str">
        <f aca="false">IFERROR(X139/P139,"")</f>
        <v/>
      </c>
      <c r="AC139" s="44"/>
      <c r="AD139" s="44"/>
      <c r="AE139" s="44"/>
    </row>
    <row r="140" customFormat="false" ht="15" hidden="false" customHeight="true" outlineLevel="0" collapsed="false">
      <c r="A140" s="46"/>
      <c r="B140" s="46"/>
      <c r="C140" s="46"/>
      <c r="D140" s="46"/>
      <c r="E140" s="46"/>
      <c r="F140" s="46"/>
      <c r="G140" s="47"/>
      <c r="H140" s="48"/>
      <c r="I140" s="48"/>
      <c r="J140" s="48"/>
      <c r="K140" s="48"/>
      <c r="L140" s="48"/>
      <c r="M140" s="40"/>
      <c r="N140" s="40"/>
      <c r="O140" s="49"/>
      <c r="P140" s="49"/>
      <c r="Q140" s="25" t="str">
        <f aca="false">IF(OR(O140="",P140=""),"",O140-P140)</f>
        <v/>
      </c>
      <c r="R140" s="24"/>
      <c r="S140" s="50"/>
      <c r="T140" s="50"/>
      <c r="U140" s="49"/>
      <c r="V140" s="49"/>
      <c r="W140" s="49"/>
      <c r="X140" s="25" t="str">
        <f aca="false">IF(OR(U140="",V140=""),"",U140+V140)</f>
        <v/>
      </c>
      <c r="Y140" s="39" t="str">
        <f aca="false">IF(OR(O140="",AA140=""),"",O140*AA140)</f>
        <v/>
      </c>
      <c r="Z140" s="40"/>
      <c r="AA140" s="40"/>
      <c r="AB140" s="30" t="str">
        <f aca="false">IFERROR(X140/P140,"")</f>
        <v/>
      </c>
      <c r="AC140" s="44"/>
      <c r="AD140" s="44"/>
      <c r="AE140" s="44"/>
    </row>
    <row r="141" customFormat="false" ht="15" hidden="false" customHeight="true" outlineLevel="0" collapsed="false">
      <c r="A141" s="46"/>
      <c r="B141" s="46"/>
      <c r="C141" s="46"/>
      <c r="D141" s="46"/>
      <c r="E141" s="46"/>
      <c r="F141" s="46"/>
      <c r="G141" s="47"/>
      <c r="H141" s="48"/>
      <c r="I141" s="48"/>
      <c r="J141" s="48"/>
      <c r="K141" s="48"/>
      <c r="L141" s="48"/>
      <c r="M141" s="40"/>
      <c r="N141" s="40"/>
      <c r="O141" s="49"/>
      <c r="P141" s="49"/>
      <c r="Q141" s="25" t="str">
        <f aca="false">IF(OR(O141="",P141=""),"",O141-P141)</f>
        <v/>
      </c>
      <c r="R141" s="24"/>
      <c r="S141" s="50"/>
      <c r="T141" s="50"/>
      <c r="U141" s="49"/>
      <c r="V141" s="49"/>
      <c r="W141" s="49"/>
      <c r="X141" s="25" t="str">
        <f aca="false">IF(OR(U141="",V141=""),"",U141+V141)</f>
        <v/>
      </c>
      <c r="Y141" s="39" t="str">
        <f aca="false">IF(OR(O141="",AA141=""),"",O141*AA141)</f>
        <v/>
      </c>
      <c r="Z141" s="40"/>
      <c r="AA141" s="40"/>
      <c r="AB141" s="30" t="str">
        <f aca="false">IFERROR(X141/P141,"")</f>
        <v/>
      </c>
      <c r="AC141" s="44"/>
      <c r="AD141" s="44"/>
      <c r="AE141" s="44"/>
    </row>
    <row r="142" customFormat="false" ht="15" hidden="false" customHeight="true" outlineLevel="0" collapsed="false">
      <c r="A142" s="46"/>
      <c r="B142" s="46"/>
      <c r="C142" s="46"/>
      <c r="D142" s="46"/>
      <c r="E142" s="46"/>
      <c r="F142" s="46"/>
      <c r="G142" s="47"/>
      <c r="H142" s="48"/>
      <c r="I142" s="48"/>
      <c r="J142" s="48"/>
      <c r="K142" s="48"/>
      <c r="L142" s="48"/>
      <c r="M142" s="40"/>
      <c r="N142" s="40"/>
      <c r="O142" s="49"/>
      <c r="P142" s="49"/>
      <c r="Q142" s="25" t="str">
        <f aca="false">IF(OR(O142="",P142=""),"",O142-P142)</f>
        <v/>
      </c>
      <c r="R142" s="24"/>
      <c r="S142" s="50"/>
      <c r="T142" s="50"/>
      <c r="U142" s="49"/>
      <c r="V142" s="49"/>
      <c r="W142" s="49"/>
      <c r="X142" s="25" t="str">
        <f aca="false">IF(OR(U142="",V142=""),"",U142+V142)</f>
        <v/>
      </c>
      <c r="Y142" s="39" t="str">
        <f aca="false">IF(OR(O142="",AA142=""),"",O142*AA142)</f>
        <v/>
      </c>
      <c r="Z142" s="40"/>
      <c r="AA142" s="40"/>
      <c r="AB142" s="30" t="str">
        <f aca="false">IFERROR(X142/P142,"")</f>
        <v/>
      </c>
      <c r="AC142" s="44"/>
      <c r="AD142" s="44"/>
      <c r="AE142" s="44"/>
    </row>
    <row r="143" customFormat="false" ht="15" hidden="false" customHeight="true" outlineLevel="0" collapsed="false">
      <c r="A143" s="46"/>
      <c r="B143" s="46"/>
      <c r="C143" s="46"/>
      <c r="D143" s="46"/>
      <c r="E143" s="46"/>
      <c r="F143" s="46"/>
      <c r="G143" s="47"/>
      <c r="H143" s="48"/>
      <c r="I143" s="48"/>
      <c r="J143" s="48"/>
      <c r="K143" s="48"/>
      <c r="L143" s="48"/>
      <c r="M143" s="40"/>
      <c r="N143" s="40"/>
      <c r="O143" s="49"/>
      <c r="P143" s="49"/>
      <c r="Q143" s="25" t="str">
        <f aca="false">IF(OR(O143="",P143=""),"",O143-P143)</f>
        <v/>
      </c>
      <c r="R143" s="24"/>
      <c r="S143" s="50"/>
      <c r="T143" s="50"/>
      <c r="U143" s="49"/>
      <c r="V143" s="49"/>
      <c r="W143" s="49"/>
      <c r="X143" s="25" t="str">
        <f aca="false">IF(OR(U143="",V143=""),"",U143+V143)</f>
        <v/>
      </c>
      <c r="Y143" s="39" t="str">
        <f aca="false">IF(OR(O143="",AA143=""),"",O143*AA143)</f>
        <v/>
      </c>
      <c r="Z143" s="40"/>
      <c r="AA143" s="40"/>
      <c r="AB143" s="30" t="str">
        <f aca="false">IFERROR(X143/P143,"")</f>
        <v/>
      </c>
      <c r="AC143" s="44"/>
      <c r="AD143" s="44"/>
      <c r="AE143" s="44"/>
    </row>
    <row r="144" customFormat="false" ht="15" hidden="false" customHeight="true" outlineLevel="0" collapsed="false">
      <c r="A144" s="46"/>
      <c r="B144" s="46"/>
      <c r="C144" s="46"/>
      <c r="D144" s="46"/>
      <c r="E144" s="46"/>
      <c r="F144" s="46"/>
      <c r="G144" s="47"/>
      <c r="H144" s="48"/>
      <c r="I144" s="48"/>
      <c r="J144" s="48"/>
      <c r="K144" s="48"/>
      <c r="L144" s="48"/>
      <c r="M144" s="40"/>
      <c r="N144" s="40"/>
      <c r="O144" s="49"/>
      <c r="P144" s="49"/>
      <c r="Q144" s="25" t="str">
        <f aca="false">IF(OR(O144="",P144=""),"",O144-P144)</f>
        <v/>
      </c>
      <c r="R144" s="24"/>
      <c r="S144" s="50"/>
      <c r="T144" s="50"/>
      <c r="U144" s="49"/>
      <c r="V144" s="49"/>
      <c r="W144" s="49"/>
      <c r="X144" s="25" t="str">
        <f aca="false">IF(OR(U144="",V144=""),"",U144+V144)</f>
        <v/>
      </c>
      <c r="Y144" s="39" t="str">
        <f aca="false">IF(OR(O144="",AA144=""),"",O144*AA144)</f>
        <v/>
      </c>
      <c r="Z144" s="40"/>
      <c r="AA144" s="40"/>
      <c r="AB144" s="30" t="str">
        <f aca="false">IFERROR(X144/P144,"")</f>
        <v/>
      </c>
      <c r="AC144" s="44"/>
      <c r="AD144" s="44"/>
      <c r="AE144" s="44"/>
    </row>
    <row r="145" customFormat="false" ht="15" hidden="false" customHeight="true" outlineLevel="0" collapsed="false">
      <c r="A145" s="46"/>
      <c r="B145" s="46"/>
      <c r="C145" s="46"/>
      <c r="D145" s="46"/>
      <c r="E145" s="46"/>
      <c r="F145" s="46"/>
      <c r="G145" s="47"/>
      <c r="H145" s="48"/>
      <c r="I145" s="48"/>
      <c r="J145" s="48"/>
      <c r="K145" s="48"/>
      <c r="L145" s="48"/>
      <c r="M145" s="40"/>
      <c r="N145" s="40"/>
      <c r="O145" s="49"/>
      <c r="P145" s="49"/>
      <c r="Q145" s="25" t="str">
        <f aca="false">IF(OR(O145="",P145=""),"",O145-P145)</f>
        <v/>
      </c>
      <c r="R145" s="24"/>
      <c r="S145" s="50"/>
      <c r="T145" s="50"/>
      <c r="U145" s="49"/>
      <c r="V145" s="49"/>
      <c r="W145" s="49"/>
      <c r="X145" s="25" t="str">
        <f aca="false">IF(OR(U145="",V145=""),"",U145+V145)</f>
        <v/>
      </c>
      <c r="Y145" s="39" t="str">
        <f aca="false">IF(OR(O145="",AA145=""),"",O145*AA145)</f>
        <v/>
      </c>
      <c r="Z145" s="40"/>
      <c r="AA145" s="40"/>
      <c r="AB145" s="30" t="str">
        <f aca="false">IFERROR(X145/P145,"")</f>
        <v/>
      </c>
      <c r="AC145" s="44"/>
      <c r="AD145" s="44"/>
      <c r="AE145" s="44"/>
    </row>
    <row r="146" customFormat="false" ht="15" hidden="false" customHeight="true" outlineLevel="0" collapsed="false">
      <c r="A146" s="46"/>
      <c r="B146" s="46"/>
      <c r="C146" s="46"/>
      <c r="D146" s="46"/>
      <c r="E146" s="46"/>
      <c r="F146" s="46"/>
      <c r="G146" s="47"/>
      <c r="H146" s="48"/>
      <c r="I146" s="48"/>
      <c r="J146" s="48"/>
      <c r="K146" s="48"/>
      <c r="L146" s="48"/>
      <c r="M146" s="40"/>
      <c r="N146" s="40"/>
      <c r="O146" s="49"/>
      <c r="P146" s="49"/>
      <c r="Q146" s="25" t="str">
        <f aca="false">IF(OR(O146="",P146=""),"",O146-P146)</f>
        <v/>
      </c>
      <c r="R146" s="24"/>
      <c r="S146" s="50"/>
      <c r="T146" s="50"/>
      <c r="U146" s="49"/>
      <c r="V146" s="49"/>
      <c r="W146" s="49"/>
      <c r="X146" s="25" t="str">
        <f aca="false">IF(OR(U146="",V146=""),"",U146+V146)</f>
        <v/>
      </c>
      <c r="Y146" s="39" t="str">
        <f aca="false">IF(OR(O146="",AA146=""),"",O146*AA146)</f>
        <v/>
      </c>
      <c r="Z146" s="40"/>
      <c r="AA146" s="40"/>
      <c r="AB146" s="30" t="str">
        <f aca="false">IFERROR(X146/P146,"")</f>
        <v/>
      </c>
      <c r="AC146" s="44"/>
      <c r="AD146" s="44"/>
      <c r="AE146" s="44"/>
    </row>
    <row r="147" customFormat="false" ht="15" hidden="false" customHeight="true" outlineLevel="0" collapsed="false">
      <c r="A147" s="46"/>
      <c r="B147" s="46"/>
      <c r="C147" s="46"/>
      <c r="D147" s="46"/>
      <c r="E147" s="46"/>
      <c r="F147" s="46"/>
      <c r="G147" s="47"/>
      <c r="H147" s="48"/>
      <c r="I147" s="48"/>
      <c r="J147" s="48"/>
      <c r="K147" s="48"/>
      <c r="L147" s="48"/>
      <c r="M147" s="40"/>
      <c r="N147" s="40"/>
      <c r="O147" s="49"/>
      <c r="P147" s="49"/>
      <c r="Q147" s="25" t="str">
        <f aca="false">IF(OR(O147="",P147=""),"",O147-P147)</f>
        <v/>
      </c>
      <c r="R147" s="24"/>
      <c r="S147" s="50"/>
      <c r="T147" s="50"/>
      <c r="U147" s="49"/>
      <c r="V147" s="49"/>
      <c r="W147" s="49"/>
      <c r="X147" s="25" t="str">
        <f aca="false">IF(OR(U147="",V147=""),"",U147+V147)</f>
        <v/>
      </c>
      <c r="Y147" s="39" t="str">
        <f aca="false">IF(OR(O147="",AA147=""),"",O147*AA147)</f>
        <v/>
      </c>
      <c r="Z147" s="40"/>
      <c r="AA147" s="40"/>
      <c r="AB147" s="30" t="str">
        <f aca="false">IFERROR(X147/P147,"")</f>
        <v/>
      </c>
      <c r="AC147" s="44"/>
      <c r="AD147" s="44"/>
      <c r="AE147" s="44"/>
    </row>
    <row r="148" customFormat="false" ht="15" hidden="false" customHeight="true" outlineLevel="0" collapsed="false">
      <c r="A148" s="46"/>
      <c r="B148" s="46"/>
      <c r="C148" s="46"/>
      <c r="D148" s="46"/>
      <c r="E148" s="46"/>
      <c r="F148" s="46"/>
      <c r="G148" s="47"/>
      <c r="H148" s="48"/>
      <c r="I148" s="48"/>
      <c r="J148" s="48"/>
      <c r="K148" s="48"/>
      <c r="L148" s="48"/>
      <c r="M148" s="40"/>
      <c r="N148" s="40"/>
      <c r="O148" s="49"/>
      <c r="P148" s="49"/>
      <c r="Q148" s="25" t="str">
        <f aca="false">IF(OR(O148="",P148=""),"",O148-P148)</f>
        <v/>
      </c>
      <c r="R148" s="24"/>
      <c r="S148" s="50"/>
      <c r="T148" s="50"/>
      <c r="U148" s="49"/>
      <c r="V148" s="49"/>
      <c r="W148" s="49"/>
      <c r="X148" s="25" t="str">
        <f aca="false">IF(OR(U148="",V148=""),"",U148+V148)</f>
        <v/>
      </c>
      <c r="Y148" s="39" t="str">
        <f aca="false">IF(OR(O148="",AA148=""),"",O148*AA148)</f>
        <v/>
      </c>
      <c r="Z148" s="40"/>
      <c r="AA148" s="40"/>
      <c r="AB148" s="30" t="str">
        <f aca="false">IFERROR(X148/P148,"")</f>
        <v/>
      </c>
      <c r="AC148" s="44"/>
      <c r="AD148" s="44"/>
      <c r="AE148" s="44"/>
    </row>
    <row r="149" customFormat="false" ht="15" hidden="false" customHeight="true" outlineLevel="0" collapsed="false">
      <c r="A149" s="46"/>
      <c r="B149" s="46"/>
      <c r="C149" s="46"/>
      <c r="D149" s="46"/>
      <c r="E149" s="46"/>
      <c r="F149" s="46"/>
      <c r="G149" s="47"/>
      <c r="H149" s="48"/>
      <c r="I149" s="48"/>
      <c r="J149" s="48"/>
      <c r="K149" s="48"/>
      <c r="L149" s="48"/>
      <c r="M149" s="40"/>
      <c r="N149" s="40"/>
      <c r="O149" s="49"/>
      <c r="P149" s="49"/>
      <c r="Q149" s="25" t="str">
        <f aca="false">IF(OR(O149="",P149=""),"",O149-P149)</f>
        <v/>
      </c>
      <c r="R149" s="24"/>
      <c r="S149" s="50"/>
      <c r="T149" s="50"/>
      <c r="U149" s="49"/>
      <c r="V149" s="49"/>
      <c r="W149" s="49"/>
      <c r="X149" s="25" t="str">
        <f aca="false">IF(OR(U149="",V149=""),"",U149+V149)</f>
        <v/>
      </c>
      <c r="Y149" s="39" t="str">
        <f aca="false">IF(OR(O149="",AA149=""),"",O149*AA149)</f>
        <v/>
      </c>
      <c r="Z149" s="40"/>
      <c r="AA149" s="40"/>
      <c r="AB149" s="30" t="str">
        <f aca="false">IFERROR(X149/P149,"")</f>
        <v/>
      </c>
      <c r="AC149" s="44"/>
      <c r="AD149" s="44"/>
      <c r="AE149" s="44"/>
    </row>
    <row r="150" customFormat="false" ht="15" hidden="false" customHeight="true" outlineLevel="0" collapsed="false">
      <c r="A150" s="46"/>
      <c r="B150" s="46"/>
      <c r="C150" s="46"/>
      <c r="D150" s="46"/>
      <c r="E150" s="46"/>
      <c r="F150" s="46"/>
      <c r="G150" s="47"/>
      <c r="H150" s="48"/>
      <c r="I150" s="48"/>
      <c r="J150" s="48"/>
      <c r="K150" s="48"/>
      <c r="L150" s="48"/>
      <c r="M150" s="40"/>
      <c r="N150" s="40"/>
      <c r="O150" s="49"/>
      <c r="P150" s="49"/>
      <c r="Q150" s="25" t="str">
        <f aca="false">IF(OR(O150="",P150=""),"",O150-P150)</f>
        <v/>
      </c>
      <c r="R150" s="24"/>
      <c r="S150" s="50"/>
      <c r="T150" s="50"/>
      <c r="U150" s="49"/>
      <c r="V150" s="49"/>
      <c r="W150" s="49"/>
      <c r="X150" s="25" t="str">
        <f aca="false">IF(OR(U150="",V150=""),"",U150+V150)</f>
        <v/>
      </c>
      <c r="Y150" s="39" t="str">
        <f aca="false">IF(OR(O150="",AA150=""),"",O150*AA150)</f>
        <v/>
      </c>
      <c r="Z150" s="40"/>
      <c r="AA150" s="40"/>
      <c r="AB150" s="30" t="str">
        <f aca="false">IFERROR(X150/P150,"")</f>
        <v/>
      </c>
      <c r="AC150" s="44"/>
      <c r="AD150" s="44"/>
      <c r="AE150" s="44"/>
    </row>
    <row r="151" customFormat="false" ht="15" hidden="false" customHeight="true" outlineLevel="0" collapsed="false">
      <c r="A151" s="46"/>
      <c r="B151" s="46"/>
      <c r="C151" s="46"/>
      <c r="D151" s="46"/>
      <c r="E151" s="46"/>
      <c r="F151" s="46"/>
      <c r="G151" s="47"/>
      <c r="H151" s="48"/>
      <c r="I151" s="48"/>
      <c r="J151" s="48"/>
      <c r="K151" s="48"/>
      <c r="L151" s="48"/>
      <c r="M151" s="40"/>
      <c r="N151" s="40"/>
      <c r="O151" s="49"/>
      <c r="P151" s="49"/>
      <c r="Q151" s="25" t="str">
        <f aca="false">IF(OR(O151="",P151=""),"",O151-P151)</f>
        <v/>
      </c>
      <c r="R151" s="24"/>
      <c r="S151" s="50"/>
      <c r="T151" s="50"/>
      <c r="U151" s="49"/>
      <c r="V151" s="49"/>
      <c r="W151" s="49"/>
      <c r="X151" s="25" t="str">
        <f aca="false">IF(OR(U151="",V151=""),"",U151+V151)</f>
        <v/>
      </c>
      <c r="Y151" s="39" t="str">
        <f aca="false">IF(OR(O151="",AA151=""),"",O151*AA151)</f>
        <v/>
      </c>
      <c r="Z151" s="40"/>
      <c r="AA151" s="40"/>
      <c r="AB151" s="30" t="str">
        <f aca="false">IFERROR(X151/P151,"")</f>
        <v/>
      </c>
      <c r="AC151" s="44"/>
      <c r="AD151" s="44"/>
      <c r="AE151" s="44"/>
    </row>
    <row r="152" customFormat="false" ht="15" hidden="false" customHeight="true" outlineLevel="0" collapsed="false">
      <c r="A152" s="46"/>
      <c r="B152" s="46"/>
      <c r="C152" s="46"/>
      <c r="D152" s="46"/>
      <c r="E152" s="46"/>
      <c r="F152" s="46"/>
      <c r="G152" s="47"/>
      <c r="H152" s="48"/>
      <c r="I152" s="48"/>
      <c r="J152" s="48"/>
      <c r="K152" s="48"/>
      <c r="L152" s="48"/>
      <c r="M152" s="40"/>
      <c r="N152" s="40"/>
      <c r="O152" s="49"/>
      <c r="P152" s="49"/>
      <c r="Q152" s="25" t="str">
        <f aca="false">IF(OR(O152="",P152=""),"",O152-P152)</f>
        <v/>
      </c>
      <c r="R152" s="24"/>
      <c r="S152" s="50"/>
      <c r="T152" s="50"/>
      <c r="U152" s="49"/>
      <c r="V152" s="49"/>
      <c r="W152" s="49"/>
      <c r="X152" s="25" t="str">
        <f aca="false">IF(OR(U152="",V152=""),"",U152+V152)</f>
        <v/>
      </c>
      <c r="Y152" s="39" t="str">
        <f aca="false">IF(OR(O152="",AA152=""),"",O152*AA152)</f>
        <v/>
      </c>
      <c r="Z152" s="40"/>
      <c r="AA152" s="40"/>
      <c r="AB152" s="30" t="str">
        <f aca="false">IFERROR(X152/P152,"")</f>
        <v/>
      </c>
      <c r="AC152" s="44"/>
      <c r="AD152" s="44"/>
      <c r="AE152" s="44"/>
    </row>
    <row r="153" customFormat="false" ht="15" hidden="false" customHeight="true" outlineLevel="0" collapsed="false">
      <c r="A153" s="46"/>
      <c r="B153" s="46"/>
      <c r="C153" s="46"/>
      <c r="D153" s="46"/>
      <c r="E153" s="46"/>
      <c r="F153" s="46"/>
      <c r="G153" s="47"/>
      <c r="H153" s="48"/>
      <c r="I153" s="48"/>
      <c r="J153" s="48"/>
      <c r="K153" s="48"/>
      <c r="L153" s="48"/>
      <c r="M153" s="40"/>
      <c r="N153" s="40"/>
      <c r="O153" s="49"/>
      <c r="P153" s="49"/>
      <c r="Q153" s="25" t="str">
        <f aca="false">IF(OR(O153="",P153=""),"",O153-P153)</f>
        <v/>
      </c>
      <c r="R153" s="24"/>
      <c r="S153" s="50"/>
      <c r="T153" s="50"/>
      <c r="U153" s="49"/>
      <c r="V153" s="49"/>
      <c r="W153" s="49"/>
      <c r="X153" s="25" t="str">
        <f aca="false">IF(OR(U153="",V153=""),"",U153+V153)</f>
        <v/>
      </c>
      <c r="Y153" s="39" t="str">
        <f aca="false">IF(OR(O153="",AA153=""),"",O153*AA153)</f>
        <v/>
      </c>
      <c r="Z153" s="40"/>
      <c r="AA153" s="40"/>
      <c r="AB153" s="30" t="str">
        <f aca="false">IFERROR(X153/P153,"")</f>
        <v/>
      </c>
      <c r="AC153" s="44"/>
      <c r="AD153" s="44"/>
      <c r="AE153" s="44"/>
    </row>
    <row r="154" customFormat="false" ht="15" hidden="false" customHeight="true" outlineLevel="0" collapsed="false">
      <c r="A154" s="46"/>
      <c r="B154" s="46"/>
      <c r="C154" s="46"/>
      <c r="D154" s="46"/>
      <c r="E154" s="46"/>
      <c r="F154" s="46"/>
      <c r="G154" s="47"/>
      <c r="H154" s="48"/>
      <c r="I154" s="48"/>
      <c r="J154" s="48"/>
      <c r="K154" s="48"/>
      <c r="L154" s="48"/>
      <c r="M154" s="40"/>
      <c r="N154" s="40"/>
      <c r="O154" s="49"/>
      <c r="P154" s="49"/>
      <c r="Q154" s="25" t="str">
        <f aca="false">IF(OR(O154="",P154=""),"",O154-P154)</f>
        <v/>
      </c>
      <c r="R154" s="24"/>
      <c r="S154" s="50"/>
      <c r="T154" s="50"/>
      <c r="U154" s="49"/>
      <c r="V154" s="49"/>
      <c r="W154" s="49"/>
      <c r="X154" s="25" t="str">
        <f aca="false">IF(OR(U154="",V154=""),"",U154+V154)</f>
        <v/>
      </c>
      <c r="Y154" s="39" t="str">
        <f aca="false">IF(OR(O154="",AA154=""),"",O154*AA154)</f>
        <v/>
      </c>
      <c r="Z154" s="40"/>
      <c r="AA154" s="40"/>
      <c r="AB154" s="30" t="str">
        <f aca="false">IFERROR(X154/P154,"")</f>
        <v/>
      </c>
      <c r="AC154" s="44"/>
      <c r="AD154" s="44"/>
      <c r="AE154" s="44"/>
    </row>
    <row r="155" customFormat="false" ht="15" hidden="false" customHeight="true" outlineLevel="0" collapsed="false">
      <c r="A155" s="46"/>
      <c r="B155" s="46"/>
      <c r="C155" s="46"/>
      <c r="D155" s="46"/>
      <c r="E155" s="46"/>
      <c r="F155" s="46"/>
      <c r="G155" s="47"/>
      <c r="H155" s="48"/>
      <c r="I155" s="48"/>
      <c r="J155" s="48"/>
      <c r="K155" s="48"/>
      <c r="L155" s="48"/>
      <c r="M155" s="40"/>
      <c r="N155" s="40"/>
      <c r="O155" s="49"/>
      <c r="P155" s="49"/>
      <c r="Q155" s="25" t="str">
        <f aca="false">IF(OR(O155="",P155=""),"",O155-P155)</f>
        <v/>
      </c>
      <c r="R155" s="24"/>
      <c r="S155" s="50"/>
      <c r="T155" s="50"/>
      <c r="U155" s="49"/>
      <c r="V155" s="49"/>
      <c r="W155" s="49"/>
      <c r="X155" s="25" t="str">
        <f aca="false">IF(OR(U155="",V155=""),"",U155+V155)</f>
        <v/>
      </c>
      <c r="Y155" s="39" t="str">
        <f aca="false">IF(OR(O155="",AA155=""),"",O155*AA155)</f>
        <v/>
      </c>
      <c r="Z155" s="40"/>
      <c r="AA155" s="40"/>
      <c r="AB155" s="30" t="str">
        <f aca="false">IFERROR(X155/P155,"")</f>
        <v/>
      </c>
      <c r="AC155" s="44"/>
      <c r="AD155" s="44"/>
      <c r="AE155" s="44"/>
    </row>
    <row r="156" customFormat="false" ht="15" hidden="false" customHeight="true" outlineLevel="0" collapsed="false">
      <c r="A156" s="46"/>
      <c r="B156" s="46"/>
      <c r="C156" s="46"/>
      <c r="D156" s="46"/>
      <c r="E156" s="46"/>
      <c r="F156" s="46"/>
      <c r="G156" s="47"/>
      <c r="H156" s="48"/>
      <c r="I156" s="48"/>
      <c r="J156" s="48"/>
      <c r="K156" s="48"/>
      <c r="L156" s="48"/>
      <c r="M156" s="40"/>
      <c r="N156" s="40"/>
      <c r="O156" s="49"/>
      <c r="P156" s="49"/>
      <c r="Q156" s="25" t="str">
        <f aca="false">IF(OR(O156="",P156=""),"",O156-P156)</f>
        <v/>
      </c>
      <c r="R156" s="24"/>
      <c r="S156" s="50"/>
      <c r="T156" s="50"/>
      <c r="U156" s="49"/>
      <c r="V156" s="49"/>
      <c r="W156" s="49"/>
      <c r="X156" s="25" t="str">
        <f aca="false">IF(OR(U156="",V156=""),"",U156+V156)</f>
        <v/>
      </c>
      <c r="Y156" s="39" t="str">
        <f aca="false">IF(OR(O156="",AA156=""),"",O156*AA156)</f>
        <v/>
      </c>
      <c r="Z156" s="40"/>
      <c r="AA156" s="40"/>
      <c r="AB156" s="30" t="str">
        <f aca="false">IFERROR(X156/P156,"")</f>
        <v/>
      </c>
      <c r="AC156" s="44"/>
      <c r="AD156" s="44"/>
      <c r="AE156" s="44"/>
    </row>
    <row r="157" customFormat="false" ht="15" hidden="false" customHeight="true" outlineLevel="0" collapsed="false">
      <c r="A157" s="46"/>
      <c r="B157" s="46"/>
      <c r="C157" s="46"/>
      <c r="D157" s="46"/>
      <c r="E157" s="46"/>
      <c r="F157" s="46"/>
      <c r="G157" s="47"/>
      <c r="H157" s="48"/>
      <c r="I157" s="48"/>
      <c r="J157" s="48"/>
      <c r="K157" s="48"/>
      <c r="L157" s="48"/>
      <c r="M157" s="40"/>
      <c r="N157" s="40"/>
      <c r="O157" s="49"/>
      <c r="P157" s="49"/>
      <c r="Q157" s="25" t="str">
        <f aca="false">IF(OR(O157="",P157=""),"",O157-P157)</f>
        <v/>
      </c>
      <c r="R157" s="24"/>
      <c r="S157" s="50"/>
      <c r="T157" s="50"/>
      <c r="U157" s="49"/>
      <c r="V157" s="49"/>
      <c r="W157" s="49"/>
      <c r="X157" s="25" t="str">
        <f aca="false">IF(OR(U157="",V157=""),"",U157+V157)</f>
        <v/>
      </c>
      <c r="Y157" s="39" t="str">
        <f aca="false">IF(OR(O157="",AA157=""),"",O157*AA157)</f>
        <v/>
      </c>
      <c r="Z157" s="40"/>
      <c r="AA157" s="40"/>
      <c r="AB157" s="30" t="str">
        <f aca="false">IFERROR(X157/P157,"")</f>
        <v/>
      </c>
      <c r="AC157" s="44"/>
      <c r="AD157" s="44"/>
      <c r="AE157" s="44"/>
    </row>
    <row r="158" customFormat="false" ht="15" hidden="false" customHeight="true" outlineLevel="0" collapsed="false">
      <c r="A158" s="46"/>
      <c r="B158" s="46"/>
      <c r="C158" s="46"/>
      <c r="D158" s="46"/>
      <c r="E158" s="46"/>
      <c r="F158" s="46"/>
      <c r="G158" s="47"/>
      <c r="H158" s="48"/>
      <c r="I158" s="48"/>
      <c r="J158" s="48"/>
      <c r="K158" s="48"/>
      <c r="L158" s="48"/>
      <c r="M158" s="40"/>
      <c r="N158" s="40"/>
      <c r="O158" s="49"/>
      <c r="P158" s="49"/>
      <c r="Q158" s="25" t="str">
        <f aca="false">IF(OR(O158="",P158=""),"",O158-P158)</f>
        <v/>
      </c>
      <c r="R158" s="24"/>
      <c r="S158" s="50"/>
      <c r="T158" s="50"/>
      <c r="U158" s="49"/>
      <c r="V158" s="49"/>
      <c r="W158" s="49"/>
      <c r="X158" s="25" t="str">
        <f aca="false">IF(OR(U158="",V158=""),"",U158+V158)</f>
        <v/>
      </c>
      <c r="Y158" s="39" t="str">
        <f aca="false">IF(OR(O158="",AA158=""),"",O158*AA158)</f>
        <v/>
      </c>
      <c r="Z158" s="40"/>
      <c r="AA158" s="40"/>
      <c r="AB158" s="30" t="str">
        <f aca="false">IFERROR(X158/P158,"")</f>
        <v/>
      </c>
      <c r="AC158" s="44"/>
      <c r="AD158" s="44"/>
      <c r="AE158" s="44"/>
    </row>
    <row r="159" customFormat="false" ht="15" hidden="false" customHeight="true" outlineLevel="0" collapsed="false">
      <c r="A159" s="46"/>
      <c r="B159" s="46"/>
      <c r="C159" s="46"/>
      <c r="D159" s="46"/>
      <c r="E159" s="46"/>
      <c r="F159" s="46"/>
      <c r="G159" s="47"/>
      <c r="H159" s="48"/>
      <c r="I159" s="48"/>
      <c r="J159" s="48"/>
      <c r="K159" s="48"/>
      <c r="L159" s="48"/>
      <c r="M159" s="40"/>
      <c r="N159" s="40"/>
      <c r="O159" s="49"/>
      <c r="P159" s="49"/>
      <c r="Q159" s="25" t="str">
        <f aca="false">IF(OR(O159="",P159=""),"",O159-P159)</f>
        <v/>
      </c>
      <c r="R159" s="24"/>
      <c r="S159" s="50"/>
      <c r="T159" s="50"/>
      <c r="U159" s="49"/>
      <c r="V159" s="49"/>
      <c r="W159" s="49"/>
      <c r="X159" s="25" t="str">
        <f aca="false">IF(OR(U159="",V159=""),"",U159+V159)</f>
        <v/>
      </c>
      <c r="Y159" s="39" t="str">
        <f aca="false">IF(OR(O159="",AA159=""),"",O159*AA159)</f>
        <v/>
      </c>
      <c r="Z159" s="40"/>
      <c r="AA159" s="40"/>
      <c r="AB159" s="30" t="str">
        <f aca="false">IFERROR(X159/P159,"")</f>
        <v/>
      </c>
      <c r="AC159" s="44"/>
      <c r="AD159" s="44"/>
      <c r="AE159" s="44"/>
    </row>
    <row r="160" customFormat="false" ht="15" hidden="false" customHeight="true" outlineLevel="0" collapsed="false">
      <c r="A160" s="46"/>
      <c r="B160" s="46"/>
      <c r="C160" s="46"/>
      <c r="D160" s="46"/>
      <c r="E160" s="46"/>
      <c r="F160" s="46"/>
      <c r="G160" s="47"/>
      <c r="H160" s="48"/>
      <c r="I160" s="48"/>
      <c r="J160" s="48"/>
      <c r="K160" s="48"/>
      <c r="L160" s="48"/>
      <c r="M160" s="40"/>
      <c r="N160" s="40"/>
      <c r="O160" s="49"/>
      <c r="P160" s="49"/>
      <c r="Q160" s="25" t="str">
        <f aca="false">IF(OR(O160="",P160=""),"",O160-P160)</f>
        <v/>
      </c>
      <c r="R160" s="24"/>
      <c r="S160" s="50"/>
      <c r="T160" s="50"/>
      <c r="U160" s="49"/>
      <c r="V160" s="49"/>
      <c r="W160" s="49"/>
      <c r="X160" s="25" t="str">
        <f aca="false">IF(OR(U160="",V160=""),"",U160+V160)</f>
        <v/>
      </c>
      <c r="Y160" s="39" t="str">
        <f aca="false">IF(OR(O160="",AA160=""),"",O160*AA160)</f>
        <v/>
      </c>
      <c r="Z160" s="40"/>
      <c r="AA160" s="40"/>
      <c r="AB160" s="30" t="str">
        <f aca="false">IFERROR(X160/P160,"")</f>
        <v/>
      </c>
      <c r="AC160" s="44"/>
      <c r="AD160" s="44"/>
      <c r="AE160" s="44"/>
    </row>
    <row r="161" customFormat="false" ht="15" hidden="false" customHeight="true" outlineLevel="0" collapsed="false">
      <c r="A161" s="46"/>
      <c r="B161" s="46"/>
      <c r="C161" s="46"/>
      <c r="D161" s="46"/>
      <c r="E161" s="46"/>
      <c r="F161" s="46"/>
      <c r="G161" s="47"/>
      <c r="H161" s="48"/>
      <c r="I161" s="48"/>
      <c r="J161" s="48"/>
      <c r="K161" s="48"/>
      <c r="L161" s="48"/>
      <c r="M161" s="40"/>
      <c r="N161" s="40"/>
      <c r="O161" s="49"/>
      <c r="P161" s="49"/>
      <c r="Q161" s="25" t="str">
        <f aca="false">IF(OR(O161="",P161=""),"",O161-P161)</f>
        <v/>
      </c>
      <c r="R161" s="24"/>
      <c r="S161" s="50"/>
      <c r="T161" s="50"/>
      <c r="U161" s="49"/>
      <c r="V161" s="49"/>
      <c r="W161" s="49"/>
      <c r="X161" s="25" t="str">
        <f aca="false">IF(OR(U161="",V161=""),"",U161+V161)</f>
        <v/>
      </c>
      <c r="Y161" s="39" t="str">
        <f aca="false">IF(OR(O161="",AA161=""),"",O161*AA161)</f>
        <v/>
      </c>
      <c r="Z161" s="40"/>
      <c r="AA161" s="40"/>
      <c r="AB161" s="30" t="str">
        <f aca="false">IFERROR(X161/P161,"")</f>
        <v/>
      </c>
      <c r="AC161" s="44"/>
      <c r="AD161" s="44"/>
      <c r="AE161" s="44"/>
    </row>
    <row r="162" customFormat="false" ht="15" hidden="false" customHeight="true" outlineLevel="0" collapsed="false">
      <c r="A162" s="46"/>
      <c r="B162" s="46"/>
      <c r="C162" s="46"/>
      <c r="D162" s="46"/>
      <c r="E162" s="46"/>
      <c r="F162" s="46"/>
      <c r="G162" s="47"/>
      <c r="H162" s="48"/>
      <c r="I162" s="48"/>
      <c r="J162" s="48"/>
      <c r="K162" s="48"/>
      <c r="L162" s="48"/>
      <c r="M162" s="40"/>
      <c r="N162" s="40"/>
      <c r="O162" s="49"/>
      <c r="P162" s="49"/>
      <c r="Q162" s="25" t="str">
        <f aca="false">IF(OR(O162="",P162=""),"",O162-P162)</f>
        <v/>
      </c>
      <c r="R162" s="24"/>
      <c r="S162" s="50"/>
      <c r="T162" s="50"/>
      <c r="U162" s="49"/>
      <c r="V162" s="49"/>
      <c r="W162" s="49"/>
      <c r="X162" s="25" t="str">
        <f aca="false">IF(OR(U162="",V162=""),"",U162+V162)</f>
        <v/>
      </c>
      <c r="Y162" s="39" t="str">
        <f aca="false">IF(OR(O162="",AA162=""),"",O162*AA162)</f>
        <v/>
      </c>
      <c r="Z162" s="40"/>
      <c r="AA162" s="40"/>
      <c r="AB162" s="30" t="str">
        <f aca="false">IFERROR(X162/P162,"")</f>
        <v/>
      </c>
      <c r="AC162" s="44"/>
      <c r="AD162" s="44"/>
      <c r="AE162" s="44"/>
    </row>
    <row r="163" customFormat="false" ht="15" hidden="false" customHeight="true" outlineLevel="0" collapsed="false">
      <c r="A163" s="46"/>
      <c r="B163" s="46"/>
      <c r="C163" s="46"/>
      <c r="D163" s="46"/>
      <c r="E163" s="46"/>
      <c r="F163" s="46"/>
      <c r="G163" s="47"/>
      <c r="H163" s="48"/>
      <c r="I163" s="48"/>
      <c r="J163" s="48"/>
      <c r="K163" s="48"/>
      <c r="L163" s="48"/>
      <c r="M163" s="40"/>
      <c r="N163" s="40"/>
      <c r="O163" s="49"/>
      <c r="P163" s="49"/>
      <c r="Q163" s="25" t="str">
        <f aca="false">IF(OR(O163="",P163=""),"",O163-P163)</f>
        <v/>
      </c>
      <c r="R163" s="24"/>
      <c r="S163" s="50"/>
      <c r="T163" s="50"/>
      <c r="U163" s="49"/>
      <c r="V163" s="49"/>
      <c r="W163" s="49"/>
      <c r="X163" s="25" t="str">
        <f aca="false">IF(OR(U163="",V163=""),"",U163+V163)</f>
        <v/>
      </c>
      <c r="Y163" s="39" t="str">
        <f aca="false">IF(OR(O163="",AA163=""),"",O163*AA163)</f>
        <v/>
      </c>
      <c r="Z163" s="40"/>
      <c r="AA163" s="40"/>
      <c r="AB163" s="30" t="str">
        <f aca="false">IFERROR(X163/P163,"")</f>
        <v/>
      </c>
      <c r="AC163" s="44"/>
      <c r="AD163" s="44"/>
      <c r="AE163" s="44"/>
    </row>
    <row r="164" customFormat="false" ht="15" hidden="false" customHeight="true" outlineLevel="0" collapsed="false">
      <c r="A164" s="46"/>
      <c r="B164" s="46"/>
      <c r="C164" s="46"/>
      <c r="D164" s="46"/>
      <c r="E164" s="46"/>
      <c r="F164" s="46"/>
      <c r="G164" s="47"/>
      <c r="H164" s="48"/>
      <c r="I164" s="48"/>
      <c r="J164" s="48"/>
      <c r="K164" s="48"/>
      <c r="L164" s="48"/>
      <c r="M164" s="40"/>
      <c r="N164" s="40"/>
      <c r="O164" s="49"/>
      <c r="P164" s="49"/>
      <c r="Q164" s="25" t="str">
        <f aca="false">IF(OR(O164="",P164=""),"",O164-P164)</f>
        <v/>
      </c>
      <c r="R164" s="24"/>
      <c r="S164" s="50"/>
      <c r="T164" s="50"/>
      <c r="U164" s="49"/>
      <c r="V164" s="49"/>
      <c r="W164" s="49"/>
      <c r="X164" s="25" t="str">
        <f aca="false">IF(OR(U164="",V164=""),"",U164+V164)</f>
        <v/>
      </c>
      <c r="Y164" s="39" t="str">
        <f aca="false">IF(OR(O164="",AA164=""),"",O164*AA164)</f>
        <v/>
      </c>
      <c r="Z164" s="40"/>
      <c r="AA164" s="40"/>
      <c r="AB164" s="30" t="str">
        <f aca="false">IFERROR(X164/P164,"")</f>
        <v/>
      </c>
      <c r="AC164" s="44"/>
      <c r="AD164" s="44"/>
      <c r="AE164" s="44"/>
    </row>
    <row r="165" customFormat="false" ht="15" hidden="false" customHeight="true" outlineLevel="0" collapsed="false">
      <c r="A165" s="46"/>
      <c r="B165" s="46"/>
      <c r="C165" s="46"/>
      <c r="D165" s="46"/>
      <c r="E165" s="46"/>
      <c r="F165" s="46"/>
      <c r="G165" s="47"/>
      <c r="H165" s="48"/>
      <c r="I165" s="48"/>
      <c r="J165" s="48"/>
      <c r="K165" s="48"/>
      <c r="L165" s="48"/>
      <c r="M165" s="40"/>
      <c r="N165" s="40"/>
      <c r="O165" s="49"/>
      <c r="P165" s="49"/>
      <c r="Q165" s="25" t="str">
        <f aca="false">IF(OR(O165="",P165=""),"",O165-P165)</f>
        <v/>
      </c>
      <c r="R165" s="24"/>
      <c r="S165" s="50"/>
      <c r="T165" s="50"/>
      <c r="U165" s="49"/>
      <c r="V165" s="49"/>
      <c r="W165" s="49"/>
      <c r="X165" s="25" t="str">
        <f aca="false">IF(OR(U165="",V165=""),"",U165+V165)</f>
        <v/>
      </c>
      <c r="Y165" s="39" t="str">
        <f aca="false">IF(OR(O165="",AA165=""),"",O165*AA165)</f>
        <v/>
      </c>
      <c r="Z165" s="40"/>
      <c r="AA165" s="40"/>
      <c r="AB165" s="30" t="str">
        <f aca="false">IFERROR(X165/P165,"")</f>
        <v/>
      </c>
      <c r="AC165" s="44"/>
      <c r="AD165" s="44"/>
      <c r="AE165" s="44"/>
    </row>
    <row r="166" customFormat="false" ht="15" hidden="false" customHeight="true" outlineLevel="0" collapsed="false">
      <c r="A166" s="46"/>
      <c r="B166" s="46"/>
      <c r="C166" s="46"/>
      <c r="D166" s="46"/>
      <c r="E166" s="46"/>
      <c r="F166" s="46"/>
      <c r="G166" s="47"/>
      <c r="H166" s="48"/>
      <c r="I166" s="48"/>
      <c r="J166" s="48"/>
      <c r="K166" s="48"/>
      <c r="L166" s="48"/>
      <c r="M166" s="40"/>
      <c r="N166" s="40"/>
      <c r="O166" s="49"/>
      <c r="P166" s="49"/>
      <c r="Q166" s="25" t="str">
        <f aca="false">IF(OR(O166="",P166=""),"",O166-P166)</f>
        <v/>
      </c>
      <c r="R166" s="24"/>
      <c r="S166" s="50"/>
      <c r="T166" s="50"/>
      <c r="U166" s="49"/>
      <c r="V166" s="49"/>
      <c r="W166" s="49"/>
      <c r="X166" s="25" t="str">
        <f aca="false">IF(OR(U166="",V166=""),"",U166+V166)</f>
        <v/>
      </c>
      <c r="Y166" s="39" t="str">
        <f aca="false">IF(OR(O166="",AA166=""),"",O166*AA166)</f>
        <v/>
      </c>
      <c r="Z166" s="40"/>
      <c r="AA166" s="40"/>
      <c r="AB166" s="30" t="str">
        <f aca="false">IFERROR(X166/P166,"")</f>
        <v/>
      </c>
      <c r="AC166" s="44"/>
      <c r="AD166" s="44"/>
      <c r="AE166" s="44"/>
    </row>
    <row r="167" customFormat="false" ht="15" hidden="false" customHeight="true" outlineLevel="0" collapsed="false">
      <c r="A167" s="46"/>
      <c r="B167" s="46"/>
      <c r="C167" s="46"/>
      <c r="D167" s="46"/>
      <c r="E167" s="46"/>
      <c r="F167" s="46"/>
      <c r="G167" s="47"/>
      <c r="H167" s="48"/>
      <c r="I167" s="48"/>
      <c r="J167" s="48"/>
      <c r="K167" s="48"/>
      <c r="L167" s="48"/>
      <c r="M167" s="40"/>
      <c r="N167" s="40"/>
      <c r="O167" s="49"/>
      <c r="P167" s="49"/>
      <c r="Q167" s="25" t="str">
        <f aca="false">IF(OR(O167="",P167=""),"",O167-P167)</f>
        <v/>
      </c>
      <c r="R167" s="24"/>
      <c r="S167" s="50"/>
      <c r="T167" s="50"/>
      <c r="U167" s="49"/>
      <c r="V167" s="49"/>
      <c r="W167" s="49"/>
      <c r="X167" s="25" t="str">
        <f aca="false">IF(OR(U167="",V167=""),"",U167+V167)</f>
        <v/>
      </c>
      <c r="Y167" s="39" t="str">
        <f aca="false">IF(OR(O167="",AA167=""),"",O167*AA167)</f>
        <v/>
      </c>
      <c r="Z167" s="40"/>
      <c r="AA167" s="40"/>
      <c r="AB167" s="30" t="str">
        <f aca="false">IFERROR(X167/P167,"")</f>
        <v/>
      </c>
      <c r="AC167" s="44"/>
      <c r="AD167" s="44"/>
      <c r="AE167" s="44"/>
    </row>
    <row r="168" customFormat="false" ht="15" hidden="false" customHeight="true" outlineLevel="0" collapsed="false">
      <c r="A168" s="46"/>
      <c r="B168" s="46"/>
      <c r="C168" s="46"/>
      <c r="D168" s="46"/>
      <c r="E168" s="46"/>
      <c r="F168" s="46"/>
      <c r="G168" s="47"/>
      <c r="H168" s="48"/>
      <c r="I168" s="48"/>
      <c r="J168" s="48"/>
      <c r="K168" s="48"/>
      <c r="L168" s="48"/>
      <c r="M168" s="40"/>
      <c r="N168" s="40"/>
      <c r="O168" s="49"/>
      <c r="P168" s="49"/>
      <c r="Q168" s="25" t="str">
        <f aca="false">IF(OR(O168="",P168=""),"",O168-P168)</f>
        <v/>
      </c>
      <c r="R168" s="24"/>
      <c r="S168" s="50"/>
      <c r="T168" s="50"/>
      <c r="U168" s="49"/>
      <c r="V168" s="49"/>
      <c r="W168" s="49"/>
      <c r="X168" s="25" t="str">
        <f aca="false">IF(OR(U168="",V168=""),"",U168+V168)</f>
        <v/>
      </c>
      <c r="Y168" s="39" t="str">
        <f aca="false">IF(OR(O168="",AA168=""),"",O168*AA168)</f>
        <v/>
      </c>
      <c r="Z168" s="40"/>
      <c r="AA168" s="40"/>
      <c r="AB168" s="30" t="str">
        <f aca="false">IFERROR(X168/P168,"")</f>
        <v/>
      </c>
      <c r="AC168" s="44"/>
      <c r="AD168" s="44"/>
      <c r="AE168" s="44"/>
    </row>
    <row r="169" customFormat="false" ht="15" hidden="false" customHeight="true" outlineLevel="0" collapsed="false">
      <c r="A169" s="46"/>
      <c r="B169" s="46"/>
      <c r="C169" s="46"/>
      <c r="D169" s="46"/>
      <c r="E169" s="46"/>
      <c r="F169" s="46"/>
      <c r="G169" s="47"/>
      <c r="H169" s="48"/>
      <c r="I169" s="48"/>
      <c r="J169" s="48"/>
      <c r="K169" s="48"/>
      <c r="L169" s="48"/>
      <c r="M169" s="40"/>
      <c r="N169" s="40"/>
      <c r="O169" s="49"/>
      <c r="P169" s="49"/>
      <c r="Q169" s="25" t="str">
        <f aca="false">IF(OR(O169="",P169=""),"",O169-P169)</f>
        <v/>
      </c>
      <c r="R169" s="24"/>
      <c r="S169" s="50"/>
      <c r="T169" s="50"/>
      <c r="U169" s="49"/>
      <c r="V169" s="49"/>
      <c r="W169" s="49"/>
      <c r="X169" s="25" t="str">
        <f aca="false">IF(OR(U169="",V169=""),"",U169+V169)</f>
        <v/>
      </c>
      <c r="Y169" s="39" t="str">
        <f aca="false">IF(OR(O169="",AA169=""),"",O169*AA169)</f>
        <v/>
      </c>
      <c r="Z169" s="40"/>
      <c r="AA169" s="40"/>
      <c r="AB169" s="30" t="str">
        <f aca="false">IFERROR(X169/P169,"")</f>
        <v/>
      </c>
      <c r="AC169" s="44"/>
      <c r="AD169" s="44"/>
      <c r="AE169" s="44"/>
    </row>
    <row r="170" customFormat="false" ht="15" hidden="false" customHeight="true" outlineLevel="0" collapsed="false">
      <c r="A170" s="46"/>
      <c r="B170" s="46"/>
      <c r="C170" s="46"/>
      <c r="D170" s="46"/>
      <c r="E170" s="46"/>
      <c r="F170" s="46"/>
      <c r="G170" s="47"/>
      <c r="H170" s="48"/>
      <c r="I170" s="48"/>
      <c r="J170" s="48"/>
      <c r="K170" s="48"/>
      <c r="L170" s="48"/>
      <c r="M170" s="40"/>
      <c r="N170" s="40"/>
      <c r="O170" s="49"/>
      <c r="P170" s="49"/>
      <c r="Q170" s="25" t="str">
        <f aca="false">IF(OR(O170="",P170=""),"",O170-P170)</f>
        <v/>
      </c>
      <c r="R170" s="24"/>
      <c r="S170" s="50"/>
      <c r="T170" s="50"/>
      <c r="U170" s="49"/>
      <c r="V170" s="49"/>
      <c r="W170" s="49"/>
      <c r="X170" s="25" t="str">
        <f aca="false">IF(OR(U170="",V170=""),"",U170+V170)</f>
        <v/>
      </c>
      <c r="Y170" s="39" t="str">
        <f aca="false">IF(OR(O170="",AA170=""),"",O170*AA170)</f>
        <v/>
      </c>
      <c r="Z170" s="40"/>
      <c r="AA170" s="40"/>
      <c r="AB170" s="30" t="str">
        <f aca="false">IFERROR(X170/P170,"")</f>
        <v/>
      </c>
      <c r="AC170" s="44"/>
      <c r="AD170" s="44"/>
      <c r="AE170" s="44"/>
    </row>
    <row r="171" customFormat="false" ht="15" hidden="false" customHeight="true" outlineLevel="0" collapsed="false">
      <c r="A171" s="46"/>
      <c r="B171" s="46"/>
      <c r="C171" s="46"/>
      <c r="D171" s="46"/>
      <c r="E171" s="46"/>
      <c r="F171" s="46"/>
      <c r="G171" s="47"/>
      <c r="H171" s="48"/>
      <c r="I171" s="48"/>
      <c r="J171" s="48"/>
      <c r="K171" s="48"/>
      <c r="L171" s="48"/>
      <c r="M171" s="40"/>
      <c r="N171" s="40"/>
      <c r="O171" s="49"/>
      <c r="P171" s="49"/>
      <c r="Q171" s="25" t="str">
        <f aca="false">IF(OR(O171="",P171=""),"",O171-P171)</f>
        <v/>
      </c>
      <c r="R171" s="24"/>
      <c r="S171" s="50"/>
      <c r="T171" s="50"/>
      <c r="U171" s="49"/>
      <c r="V171" s="49"/>
      <c r="W171" s="49"/>
      <c r="X171" s="25" t="str">
        <f aca="false">IF(OR(U171="",V171=""),"",U171+V171)</f>
        <v/>
      </c>
      <c r="Y171" s="39" t="str">
        <f aca="false">IF(OR(O171="",AA171=""),"",O171*AA171)</f>
        <v/>
      </c>
      <c r="Z171" s="40"/>
      <c r="AA171" s="40"/>
      <c r="AB171" s="30" t="str">
        <f aca="false">IFERROR(X171/P171,"")</f>
        <v/>
      </c>
      <c r="AC171" s="44"/>
      <c r="AD171" s="44"/>
      <c r="AE171" s="44"/>
    </row>
    <row r="172" customFormat="false" ht="15" hidden="false" customHeight="true" outlineLevel="0" collapsed="false">
      <c r="A172" s="46"/>
      <c r="B172" s="46"/>
      <c r="C172" s="46"/>
      <c r="D172" s="46"/>
      <c r="E172" s="46"/>
      <c r="F172" s="46"/>
      <c r="G172" s="47"/>
      <c r="H172" s="48"/>
      <c r="I172" s="48"/>
      <c r="J172" s="48"/>
      <c r="K172" s="48"/>
      <c r="L172" s="48"/>
      <c r="M172" s="40"/>
      <c r="N172" s="40"/>
      <c r="O172" s="49"/>
      <c r="P172" s="49"/>
      <c r="Q172" s="25" t="str">
        <f aca="false">IF(OR(O172="",P172=""),"",O172-P172)</f>
        <v/>
      </c>
      <c r="R172" s="24"/>
      <c r="S172" s="50"/>
      <c r="T172" s="50"/>
      <c r="U172" s="49"/>
      <c r="V172" s="49"/>
      <c r="W172" s="49"/>
      <c r="X172" s="25" t="str">
        <f aca="false">IF(OR(U172="",V172=""),"",U172+V172)</f>
        <v/>
      </c>
      <c r="Y172" s="39" t="str">
        <f aca="false">IF(OR(O172="",AA172=""),"",O172*AA172)</f>
        <v/>
      </c>
      <c r="Z172" s="40"/>
      <c r="AA172" s="40"/>
      <c r="AB172" s="30" t="str">
        <f aca="false">IFERROR(X172/P172,"")</f>
        <v/>
      </c>
      <c r="AC172" s="44"/>
      <c r="AD172" s="44"/>
      <c r="AE172" s="44"/>
    </row>
    <row r="173" customFormat="false" ht="15" hidden="false" customHeight="true" outlineLevel="0" collapsed="false">
      <c r="A173" s="46"/>
      <c r="B173" s="46"/>
      <c r="C173" s="46"/>
      <c r="D173" s="46"/>
      <c r="E173" s="46"/>
      <c r="F173" s="46"/>
      <c r="G173" s="47"/>
      <c r="H173" s="48"/>
      <c r="I173" s="48"/>
      <c r="J173" s="48"/>
      <c r="K173" s="48"/>
      <c r="L173" s="48"/>
      <c r="M173" s="40"/>
      <c r="N173" s="40"/>
      <c r="O173" s="49"/>
      <c r="P173" s="49"/>
      <c r="Q173" s="25" t="str">
        <f aca="false">IF(OR(O173="",P173=""),"",O173-P173)</f>
        <v/>
      </c>
      <c r="R173" s="24"/>
      <c r="S173" s="50"/>
      <c r="T173" s="50"/>
      <c r="U173" s="49"/>
      <c r="V173" s="49"/>
      <c r="W173" s="49"/>
      <c r="X173" s="25" t="str">
        <f aca="false">IF(OR(U173="",V173=""),"",U173+V173)</f>
        <v/>
      </c>
      <c r="Y173" s="39" t="str">
        <f aca="false">IF(OR(O173="",AA173=""),"",O173*AA173)</f>
        <v/>
      </c>
      <c r="Z173" s="40"/>
      <c r="AA173" s="40"/>
      <c r="AB173" s="30" t="str">
        <f aca="false">IFERROR(X173/P173,"")</f>
        <v/>
      </c>
      <c r="AC173" s="44"/>
      <c r="AD173" s="44"/>
      <c r="AE173" s="44"/>
    </row>
    <row r="174" customFormat="false" ht="15" hidden="false" customHeight="true" outlineLevel="0" collapsed="false">
      <c r="A174" s="46"/>
      <c r="B174" s="46"/>
      <c r="C174" s="46"/>
      <c r="D174" s="46"/>
      <c r="E174" s="46"/>
      <c r="F174" s="46"/>
      <c r="G174" s="47"/>
      <c r="H174" s="48"/>
      <c r="I174" s="48"/>
      <c r="J174" s="48"/>
      <c r="K174" s="48"/>
      <c r="L174" s="48"/>
      <c r="M174" s="40"/>
      <c r="N174" s="40"/>
      <c r="O174" s="49"/>
      <c r="P174" s="49"/>
      <c r="Q174" s="25" t="str">
        <f aca="false">IF(OR(O174="",P174=""),"",O174-P174)</f>
        <v/>
      </c>
      <c r="R174" s="24"/>
      <c r="S174" s="50"/>
      <c r="T174" s="50"/>
      <c r="U174" s="49"/>
      <c r="V174" s="49"/>
      <c r="W174" s="49"/>
      <c r="X174" s="25" t="str">
        <f aca="false">IF(OR(U174="",V174=""),"",U174+V174)</f>
        <v/>
      </c>
      <c r="Y174" s="39" t="str">
        <f aca="false">IF(OR(O174="",AA174=""),"",O174*AA174)</f>
        <v/>
      </c>
      <c r="Z174" s="40"/>
      <c r="AA174" s="40"/>
      <c r="AB174" s="30" t="str">
        <f aca="false">IFERROR(X174/P174,"")</f>
        <v/>
      </c>
      <c r="AC174" s="44"/>
      <c r="AD174" s="44"/>
      <c r="AE174" s="44"/>
    </row>
    <row r="175" customFormat="false" ht="15" hidden="false" customHeight="true" outlineLevel="0" collapsed="false">
      <c r="A175" s="46"/>
      <c r="B175" s="46"/>
      <c r="C175" s="46"/>
      <c r="D175" s="46"/>
      <c r="E175" s="46"/>
      <c r="F175" s="46"/>
      <c r="G175" s="47"/>
      <c r="H175" s="48"/>
      <c r="I175" s="48"/>
      <c r="J175" s="48"/>
      <c r="K175" s="48"/>
      <c r="L175" s="48"/>
      <c r="M175" s="40"/>
      <c r="N175" s="40"/>
      <c r="O175" s="49"/>
      <c r="P175" s="49"/>
      <c r="Q175" s="25" t="str">
        <f aca="false">IF(OR(O175="",P175=""),"",O175-P175)</f>
        <v/>
      </c>
      <c r="R175" s="24"/>
      <c r="S175" s="50"/>
      <c r="T175" s="50"/>
      <c r="U175" s="49"/>
      <c r="V175" s="49"/>
      <c r="W175" s="49"/>
      <c r="X175" s="25" t="str">
        <f aca="false">IF(OR(U175="",V175=""),"",U175+V175)</f>
        <v/>
      </c>
      <c r="Y175" s="39" t="str">
        <f aca="false">IF(OR(O175="",AA175=""),"",O175*AA175)</f>
        <v/>
      </c>
      <c r="Z175" s="40"/>
      <c r="AA175" s="40"/>
      <c r="AB175" s="30" t="str">
        <f aca="false">IFERROR(X175/P175,"")</f>
        <v/>
      </c>
      <c r="AC175" s="44"/>
      <c r="AD175" s="44"/>
      <c r="AE175" s="44"/>
    </row>
    <row r="176" customFormat="false" ht="15" hidden="false" customHeight="true" outlineLevel="0" collapsed="false">
      <c r="A176" s="46"/>
      <c r="B176" s="46"/>
      <c r="C176" s="46"/>
      <c r="D176" s="46"/>
      <c r="E176" s="46"/>
      <c r="F176" s="46"/>
      <c r="G176" s="47"/>
      <c r="H176" s="48"/>
      <c r="I176" s="48"/>
      <c r="J176" s="48"/>
      <c r="K176" s="48"/>
      <c r="L176" s="48"/>
      <c r="M176" s="40"/>
      <c r="N176" s="40"/>
      <c r="O176" s="49"/>
      <c r="P176" s="49"/>
      <c r="Q176" s="25" t="str">
        <f aca="false">IF(OR(O176="",P176=""),"",O176-P176)</f>
        <v/>
      </c>
      <c r="R176" s="24"/>
      <c r="S176" s="50"/>
      <c r="T176" s="50"/>
      <c r="U176" s="49"/>
      <c r="V176" s="49"/>
      <c r="W176" s="49"/>
      <c r="X176" s="25" t="str">
        <f aca="false">IF(OR(U176="",V176=""),"",U176+V176)</f>
        <v/>
      </c>
      <c r="Y176" s="39" t="str">
        <f aca="false">IF(OR(O176="",AA176=""),"",O176*AA176)</f>
        <v/>
      </c>
      <c r="Z176" s="40"/>
      <c r="AA176" s="40"/>
      <c r="AB176" s="30" t="str">
        <f aca="false">IFERROR(X176/P176,"")</f>
        <v/>
      </c>
      <c r="AC176" s="44"/>
      <c r="AD176" s="44"/>
      <c r="AE176" s="44"/>
    </row>
    <row r="177" customFormat="false" ht="15" hidden="false" customHeight="true" outlineLevel="0" collapsed="false">
      <c r="A177" s="46"/>
      <c r="B177" s="46"/>
      <c r="C177" s="46"/>
      <c r="D177" s="46"/>
      <c r="E177" s="46"/>
      <c r="F177" s="46"/>
      <c r="G177" s="47"/>
      <c r="H177" s="48"/>
      <c r="I177" s="48"/>
      <c r="J177" s="48"/>
      <c r="K177" s="48"/>
      <c r="L177" s="48"/>
      <c r="M177" s="40"/>
      <c r="N177" s="40"/>
      <c r="O177" s="49"/>
      <c r="P177" s="49"/>
      <c r="Q177" s="25" t="str">
        <f aca="false">IF(OR(O177="",P177=""),"",O177-P177)</f>
        <v/>
      </c>
      <c r="R177" s="24"/>
      <c r="S177" s="50"/>
      <c r="T177" s="50"/>
      <c r="U177" s="49"/>
      <c r="V177" s="49"/>
      <c r="W177" s="49"/>
      <c r="X177" s="25" t="str">
        <f aca="false">IF(OR(U177="",V177=""),"",U177+V177)</f>
        <v/>
      </c>
      <c r="Y177" s="39" t="str">
        <f aca="false">IF(OR(O177="",AA177=""),"",O177*AA177)</f>
        <v/>
      </c>
      <c r="Z177" s="40"/>
      <c r="AA177" s="40"/>
      <c r="AB177" s="30" t="str">
        <f aca="false">IFERROR(X177/P177,"")</f>
        <v/>
      </c>
      <c r="AC177" s="44"/>
      <c r="AD177" s="44"/>
      <c r="AE177" s="44"/>
    </row>
    <row r="178" customFormat="false" ht="15" hidden="false" customHeight="true" outlineLevel="0" collapsed="false">
      <c r="A178" s="46"/>
      <c r="B178" s="46"/>
      <c r="C178" s="46"/>
      <c r="D178" s="46"/>
      <c r="E178" s="46"/>
      <c r="F178" s="46"/>
      <c r="G178" s="47"/>
      <c r="H178" s="48"/>
      <c r="I178" s="48"/>
      <c r="J178" s="48"/>
      <c r="K178" s="48"/>
      <c r="L178" s="48"/>
      <c r="M178" s="40"/>
      <c r="N178" s="40"/>
      <c r="O178" s="49"/>
      <c r="P178" s="49"/>
      <c r="Q178" s="25" t="str">
        <f aca="false">IF(OR(O178="",P178=""),"",O178-P178)</f>
        <v/>
      </c>
      <c r="R178" s="24"/>
      <c r="S178" s="50"/>
      <c r="T178" s="50"/>
      <c r="U178" s="49"/>
      <c r="V178" s="49"/>
      <c r="W178" s="49"/>
      <c r="X178" s="25" t="str">
        <f aca="false">IF(OR(U178="",V178=""),"",U178+V178)</f>
        <v/>
      </c>
      <c r="Y178" s="39" t="str">
        <f aca="false">IF(OR(O178="",AA178=""),"",O178*AA178)</f>
        <v/>
      </c>
      <c r="Z178" s="40"/>
      <c r="AA178" s="40"/>
      <c r="AB178" s="30" t="str">
        <f aca="false">IFERROR(X178/P178,"")</f>
        <v/>
      </c>
      <c r="AC178" s="44"/>
      <c r="AD178" s="44"/>
      <c r="AE178" s="44"/>
    </row>
    <row r="179" customFormat="false" ht="15" hidden="false" customHeight="true" outlineLevel="0" collapsed="false">
      <c r="A179" s="46"/>
      <c r="B179" s="46"/>
      <c r="C179" s="46"/>
      <c r="D179" s="46"/>
      <c r="E179" s="46"/>
      <c r="F179" s="46"/>
      <c r="G179" s="47"/>
      <c r="H179" s="48"/>
      <c r="I179" s="48"/>
      <c r="J179" s="48"/>
      <c r="K179" s="48"/>
      <c r="L179" s="48"/>
      <c r="M179" s="40"/>
      <c r="N179" s="40"/>
      <c r="O179" s="49"/>
      <c r="P179" s="49"/>
      <c r="Q179" s="25" t="str">
        <f aca="false">IF(OR(O179="",P179=""),"",O179-P179)</f>
        <v/>
      </c>
      <c r="R179" s="24"/>
      <c r="S179" s="50"/>
      <c r="T179" s="50"/>
      <c r="U179" s="49"/>
      <c r="V179" s="49"/>
      <c r="W179" s="49"/>
      <c r="X179" s="25" t="str">
        <f aca="false">IF(OR(U179="",V179=""),"",U179+V179)</f>
        <v/>
      </c>
      <c r="Y179" s="39" t="str">
        <f aca="false">IF(OR(O179="",AA179=""),"",O179*AA179)</f>
        <v/>
      </c>
      <c r="Z179" s="40"/>
      <c r="AA179" s="40"/>
      <c r="AB179" s="30" t="str">
        <f aca="false">IFERROR(X179/P179,"")</f>
        <v/>
      </c>
      <c r="AC179" s="44"/>
      <c r="AD179" s="44"/>
      <c r="AE179" s="44"/>
    </row>
    <row r="180" customFormat="false" ht="15" hidden="false" customHeight="true" outlineLevel="0" collapsed="false">
      <c r="A180" s="46"/>
      <c r="B180" s="46"/>
      <c r="C180" s="46"/>
      <c r="D180" s="46"/>
      <c r="E180" s="46"/>
      <c r="F180" s="46"/>
      <c r="G180" s="47"/>
      <c r="H180" s="48"/>
      <c r="I180" s="48"/>
      <c r="J180" s="48"/>
      <c r="K180" s="48"/>
      <c r="L180" s="48"/>
      <c r="M180" s="40"/>
      <c r="N180" s="40"/>
      <c r="O180" s="49"/>
      <c r="P180" s="49"/>
      <c r="Q180" s="25" t="str">
        <f aca="false">IF(OR(O180="",P180=""),"",O180-P180)</f>
        <v/>
      </c>
      <c r="R180" s="24"/>
      <c r="S180" s="50"/>
      <c r="T180" s="50"/>
      <c r="U180" s="49"/>
      <c r="V180" s="49"/>
      <c r="W180" s="49"/>
      <c r="X180" s="25" t="str">
        <f aca="false">IF(OR(U180="",V180=""),"",U180+V180)</f>
        <v/>
      </c>
      <c r="Y180" s="39" t="str">
        <f aca="false">IF(OR(O180="",AA180=""),"",O180*AA180)</f>
        <v/>
      </c>
      <c r="Z180" s="40"/>
      <c r="AA180" s="40"/>
      <c r="AB180" s="30" t="str">
        <f aca="false">IFERROR(X180/P180,"")</f>
        <v/>
      </c>
      <c r="AC180" s="44"/>
      <c r="AD180" s="44"/>
      <c r="AE180" s="44"/>
    </row>
    <row r="181" customFormat="false" ht="15" hidden="false" customHeight="true" outlineLevel="0" collapsed="false">
      <c r="A181" s="46"/>
      <c r="B181" s="46"/>
      <c r="C181" s="46"/>
      <c r="D181" s="46"/>
      <c r="E181" s="46"/>
      <c r="F181" s="46"/>
      <c r="G181" s="47"/>
      <c r="H181" s="48"/>
      <c r="I181" s="48"/>
      <c r="J181" s="48"/>
      <c r="K181" s="48"/>
      <c r="L181" s="48"/>
      <c r="M181" s="40"/>
      <c r="N181" s="40"/>
      <c r="O181" s="49"/>
      <c r="P181" s="49"/>
      <c r="Q181" s="25" t="str">
        <f aca="false">IF(OR(O181="",P181=""),"",O181-P181)</f>
        <v/>
      </c>
      <c r="R181" s="24"/>
      <c r="S181" s="50"/>
      <c r="T181" s="50"/>
      <c r="U181" s="49"/>
      <c r="V181" s="49"/>
      <c r="W181" s="49"/>
      <c r="X181" s="25" t="str">
        <f aca="false">IF(OR(U181="",V181=""),"",U181+V181)</f>
        <v/>
      </c>
      <c r="Y181" s="39" t="str">
        <f aca="false">IF(OR(O181="",AA181=""),"",O181*AA181)</f>
        <v/>
      </c>
      <c r="Z181" s="40"/>
      <c r="AA181" s="40"/>
      <c r="AB181" s="30" t="str">
        <f aca="false">IFERROR(X181/P181,"")</f>
        <v/>
      </c>
      <c r="AC181" s="44"/>
      <c r="AD181" s="44"/>
      <c r="AE181" s="44"/>
    </row>
    <row r="182" customFormat="false" ht="15" hidden="false" customHeight="true" outlineLevel="0" collapsed="false">
      <c r="A182" s="46"/>
      <c r="B182" s="46"/>
      <c r="C182" s="46"/>
      <c r="D182" s="46"/>
      <c r="E182" s="46"/>
      <c r="F182" s="46"/>
      <c r="G182" s="47"/>
      <c r="H182" s="48"/>
      <c r="I182" s="48"/>
      <c r="J182" s="48"/>
      <c r="K182" s="48"/>
      <c r="L182" s="48"/>
      <c r="M182" s="40"/>
      <c r="N182" s="40"/>
      <c r="O182" s="49"/>
      <c r="P182" s="49"/>
      <c r="Q182" s="25" t="str">
        <f aca="false">IF(OR(O182="",P182=""),"",O182-P182)</f>
        <v/>
      </c>
      <c r="R182" s="24"/>
      <c r="S182" s="50"/>
      <c r="T182" s="50"/>
      <c r="U182" s="49"/>
      <c r="V182" s="49"/>
      <c r="W182" s="49"/>
      <c r="X182" s="25" t="str">
        <f aca="false">IF(OR(U182="",V182=""),"",U182+V182)</f>
        <v/>
      </c>
      <c r="Y182" s="39" t="str">
        <f aca="false">IF(OR(O182="",AA182=""),"",O182*AA182)</f>
        <v/>
      </c>
      <c r="Z182" s="40"/>
      <c r="AA182" s="40"/>
      <c r="AB182" s="30" t="str">
        <f aca="false">IFERROR(X182/P182,"")</f>
        <v/>
      </c>
      <c r="AC182" s="44"/>
      <c r="AD182" s="44"/>
      <c r="AE182" s="44"/>
    </row>
    <row r="183" customFormat="false" ht="15" hidden="false" customHeight="true" outlineLevel="0" collapsed="false">
      <c r="A183" s="46"/>
      <c r="B183" s="46"/>
      <c r="C183" s="46"/>
      <c r="D183" s="46"/>
      <c r="E183" s="46"/>
      <c r="F183" s="46"/>
      <c r="G183" s="47"/>
      <c r="H183" s="48"/>
      <c r="I183" s="48"/>
      <c r="J183" s="48"/>
      <c r="K183" s="48"/>
      <c r="L183" s="48"/>
      <c r="M183" s="40"/>
      <c r="N183" s="40"/>
      <c r="O183" s="49"/>
      <c r="P183" s="49"/>
      <c r="Q183" s="25" t="str">
        <f aca="false">IF(OR(O183="",P183=""),"",O183-P183)</f>
        <v/>
      </c>
      <c r="R183" s="24"/>
      <c r="S183" s="50"/>
      <c r="T183" s="50"/>
      <c r="U183" s="49"/>
      <c r="V183" s="49"/>
      <c r="W183" s="49"/>
      <c r="X183" s="25" t="str">
        <f aca="false">IF(OR(U183="",V183=""),"",U183+V183)</f>
        <v/>
      </c>
      <c r="Y183" s="39" t="str">
        <f aca="false">IF(OR(O183="",AA183=""),"",O183*AA183)</f>
        <v/>
      </c>
      <c r="Z183" s="40"/>
      <c r="AA183" s="40"/>
      <c r="AB183" s="30" t="str">
        <f aca="false">IFERROR(X183/P183,"")</f>
        <v/>
      </c>
      <c r="AC183" s="44"/>
      <c r="AD183" s="44"/>
      <c r="AE183" s="44"/>
    </row>
    <row r="184" customFormat="false" ht="15" hidden="false" customHeight="true" outlineLevel="0" collapsed="false">
      <c r="A184" s="46"/>
      <c r="B184" s="46"/>
      <c r="C184" s="46"/>
      <c r="D184" s="46"/>
      <c r="E184" s="46"/>
      <c r="F184" s="46"/>
      <c r="G184" s="47"/>
      <c r="H184" s="48"/>
      <c r="I184" s="48"/>
      <c r="J184" s="48"/>
      <c r="K184" s="48"/>
      <c r="L184" s="48"/>
      <c r="M184" s="40"/>
      <c r="N184" s="40"/>
      <c r="O184" s="49"/>
      <c r="P184" s="49"/>
      <c r="Q184" s="25" t="str">
        <f aca="false">IF(OR(O184="",P184=""),"",O184-P184)</f>
        <v/>
      </c>
      <c r="R184" s="24"/>
      <c r="S184" s="50"/>
      <c r="T184" s="50"/>
      <c r="U184" s="49"/>
      <c r="V184" s="49"/>
      <c r="W184" s="49"/>
      <c r="X184" s="25" t="str">
        <f aca="false">IF(OR(U184="",V184=""),"",U184+V184)</f>
        <v/>
      </c>
      <c r="Y184" s="39" t="str">
        <f aca="false">IF(OR(O184="",AA184=""),"",O184*AA184)</f>
        <v/>
      </c>
      <c r="Z184" s="40"/>
      <c r="AA184" s="40"/>
      <c r="AB184" s="30" t="str">
        <f aca="false">IFERROR(X184/P184,"")</f>
        <v/>
      </c>
      <c r="AC184" s="44"/>
      <c r="AD184" s="44"/>
      <c r="AE184" s="44"/>
    </row>
    <row r="185" customFormat="false" ht="15" hidden="false" customHeight="true" outlineLevel="0" collapsed="false">
      <c r="A185" s="46"/>
      <c r="B185" s="46"/>
      <c r="C185" s="46"/>
      <c r="D185" s="46"/>
      <c r="E185" s="46"/>
      <c r="F185" s="46"/>
      <c r="G185" s="47"/>
      <c r="H185" s="48"/>
      <c r="I185" s="48"/>
      <c r="J185" s="48"/>
      <c r="K185" s="48"/>
      <c r="L185" s="48"/>
      <c r="M185" s="40"/>
      <c r="N185" s="40"/>
      <c r="O185" s="49"/>
      <c r="P185" s="49"/>
      <c r="Q185" s="25" t="str">
        <f aca="false">IF(OR(O185="",P185=""),"",O185-P185)</f>
        <v/>
      </c>
      <c r="R185" s="24"/>
      <c r="S185" s="50"/>
      <c r="T185" s="50"/>
      <c r="U185" s="49"/>
      <c r="V185" s="49"/>
      <c r="W185" s="49"/>
      <c r="X185" s="25" t="str">
        <f aca="false">IF(OR(U185="",V185=""),"",U185+V185)</f>
        <v/>
      </c>
      <c r="Y185" s="39" t="str">
        <f aca="false">IF(OR(O185="",AA185=""),"",O185*AA185)</f>
        <v/>
      </c>
      <c r="Z185" s="40"/>
      <c r="AA185" s="40"/>
      <c r="AB185" s="30" t="str">
        <f aca="false">IFERROR(X185/P185,"")</f>
        <v/>
      </c>
      <c r="AC185" s="44"/>
      <c r="AD185" s="44"/>
      <c r="AE185" s="44"/>
    </row>
    <row r="186" customFormat="false" ht="15" hidden="false" customHeight="true" outlineLevel="0" collapsed="false">
      <c r="A186" s="46"/>
      <c r="B186" s="46"/>
      <c r="C186" s="46"/>
      <c r="D186" s="46"/>
      <c r="E186" s="46"/>
      <c r="F186" s="46"/>
      <c r="G186" s="47"/>
      <c r="H186" s="48"/>
      <c r="I186" s="48"/>
      <c r="J186" s="48"/>
      <c r="K186" s="48"/>
      <c r="L186" s="48"/>
      <c r="M186" s="40"/>
      <c r="N186" s="40"/>
      <c r="O186" s="49"/>
      <c r="P186" s="49"/>
      <c r="Q186" s="25" t="str">
        <f aca="false">IF(OR(O186="",P186=""),"",O186-P186)</f>
        <v/>
      </c>
      <c r="R186" s="24"/>
      <c r="S186" s="50"/>
      <c r="T186" s="50"/>
      <c r="U186" s="49"/>
      <c r="V186" s="49"/>
      <c r="W186" s="49"/>
      <c r="X186" s="25" t="str">
        <f aca="false">IF(OR(U186="",V186=""),"",U186+V186)</f>
        <v/>
      </c>
      <c r="Y186" s="39" t="str">
        <f aca="false">IF(OR(O186="",AA186=""),"",O186*AA186)</f>
        <v/>
      </c>
      <c r="Z186" s="40"/>
      <c r="AA186" s="40"/>
      <c r="AB186" s="30" t="str">
        <f aca="false">IFERROR(X186/P186,"")</f>
        <v/>
      </c>
      <c r="AC186" s="44"/>
      <c r="AD186" s="44"/>
      <c r="AE186" s="44"/>
    </row>
    <row r="187" customFormat="false" ht="15" hidden="false" customHeight="true" outlineLevel="0" collapsed="false">
      <c r="A187" s="46"/>
      <c r="B187" s="46"/>
      <c r="C187" s="46"/>
      <c r="D187" s="46"/>
      <c r="E187" s="46"/>
      <c r="F187" s="46"/>
      <c r="G187" s="47"/>
      <c r="H187" s="48"/>
      <c r="I187" s="48"/>
      <c r="J187" s="48"/>
      <c r="K187" s="48"/>
      <c r="L187" s="48"/>
      <c r="M187" s="40"/>
      <c r="N187" s="40"/>
      <c r="O187" s="49"/>
      <c r="P187" s="49"/>
      <c r="Q187" s="25" t="str">
        <f aca="false">IF(OR(O187="",P187=""),"",O187-P187)</f>
        <v/>
      </c>
      <c r="R187" s="24"/>
      <c r="S187" s="50"/>
      <c r="T187" s="50"/>
      <c r="U187" s="49"/>
      <c r="V187" s="49"/>
      <c r="W187" s="49"/>
      <c r="X187" s="25" t="str">
        <f aca="false">IF(OR(U187="",V187=""),"",U187+V187)</f>
        <v/>
      </c>
      <c r="Y187" s="39" t="str">
        <f aca="false">IF(OR(O187="",AA187=""),"",O187*AA187)</f>
        <v/>
      </c>
      <c r="Z187" s="40"/>
      <c r="AA187" s="40"/>
      <c r="AB187" s="30" t="str">
        <f aca="false">IFERROR(X187/P187,"")</f>
        <v/>
      </c>
      <c r="AC187" s="44"/>
      <c r="AD187" s="44"/>
      <c r="AE187" s="44"/>
    </row>
    <row r="188" customFormat="false" ht="15" hidden="false" customHeight="true" outlineLevel="0" collapsed="false">
      <c r="A188" s="46"/>
      <c r="B188" s="46"/>
      <c r="C188" s="46"/>
      <c r="D188" s="46"/>
      <c r="E188" s="46"/>
      <c r="F188" s="46"/>
      <c r="G188" s="47"/>
      <c r="H188" s="48"/>
      <c r="I188" s="48"/>
      <c r="J188" s="48"/>
      <c r="K188" s="48"/>
      <c r="L188" s="48"/>
      <c r="M188" s="40"/>
      <c r="N188" s="40"/>
      <c r="O188" s="49"/>
      <c r="P188" s="49"/>
      <c r="Q188" s="25" t="str">
        <f aca="false">IF(OR(O188="",P188=""),"",O188-P188)</f>
        <v/>
      </c>
      <c r="R188" s="24"/>
      <c r="S188" s="50"/>
      <c r="T188" s="50"/>
      <c r="U188" s="49"/>
      <c r="V188" s="49"/>
      <c r="W188" s="49"/>
      <c r="X188" s="25" t="str">
        <f aca="false">IF(OR(U188="",V188=""),"",U188+V188)</f>
        <v/>
      </c>
      <c r="Y188" s="39" t="str">
        <f aca="false">IF(OR(O188="",AA188=""),"",O188*AA188)</f>
        <v/>
      </c>
      <c r="Z188" s="40"/>
      <c r="AA188" s="40"/>
      <c r="AB188" s="30" t="str">
        <f aca="false">IFERROR(X188/P188,"")</f>
        <v/>
      </c>
      <c r="AC188" s="44"/>
      <c r="AD188" s="44"/>
      <c r="AE188" s="44"/>
    </row>
    <row r="189" customFormat="false" ht="15" hidden="false" customHeight="true" outlineLevel="0" collapsed="false">
      <c r="A189" s="46"/>
      <c r="B189" s="46"/>
      <c r="C189" s="46"/>
      <c r="D189" s="46"/>
      <c r="E189" s="46"/>
      <c r="F189" s="46"/>
      <c r="G189" s="47"/>
      <c r="H189" s="48"/>
      <c r="I189" s="48"/>
      <c r="J189" s="48"/>
      <c r="K189" s="48"/>
      <c r="L189" s="48"/>
      <c r="M189" s="40"/>
      <c r="N189" s="40"/>
      <c r="O189" s="49"/>
      <c r="P189" s="49"/>
      <c r="Q189" s="25" t="str">
        <f aca="false">IF(OR(O189="",P189=""),"",O189-P189)</f>
        <v/>
      </c>
      <c r="R189" s="24"/>
      <c r="S189" s="50"/>
      <c r="T189" s="50"/>
      <c r="U189" s="49"/>
      <c r="V189" s="49"/>
      <c r="W189" s="49"/>
      <c r="X189" s="25" t="str">
        <f aca="false">IF(OR(U189="",V189=""),"",U189+V189)</f>
        <v/>
      </c>
      <c r="Y189" s="39" t="str">
        <f aca="false">IF(OR(O189="",AA189=""),"",O189*AA189)</f>
        <v/>
      </c>
      <c r="Z189" s="40"/>
      <c r="AA189" s="40"/>
      <c r="AB189" s="30" t="str">
        <f aca="false">IFERROR(X189/P189,"")</f>
        <v/>
      </c>
      <c r="AC189" s="44"/>
      <c r="AD189" s="44"/>
      <c r="AE189" s="44"/>
    </row>
    <row r="190" customFormat="false" ht="15" hidden="false" customHeight="true" outlineLevel="0" collapsed="false">
      <c r="A190" s="46"/>
      <c r="B190" s="46"/>
      <c r="C190" s="46"/>
      <c r="D190" s="46"/>
      <c r="E190" s="46"/>
      <c r="F190" s="46"/>
      <c r="G190" s="47"/>
      <c r="H190" s="48"/>
      <c r="I190" s="48"/>
      <c r="J190" s="48"/>
      <c r="K190" s="48"/>
      <c r="L190" s="48"/>
      <c r="M190" s="40"/>
      <c r="N190" s="40"/>
      <c r="O190" s="49"/>
      <c r="P190" s="49"/>
      <c r="Q190" s="25" t="str">
        <f aca="false">IF(OR(O190="",P190=""),"",O190-P190)</f>
        <v/>
      </c>
      <c r="R190" s="24"/>
      <c r="S190" s="50"/>
      <c r="T190" s="50"/>
      <c r="U190" s="49"/>
      <c r="V190" s="49"/>
      <c r="W190" s="49"/>
      <c r="X190" s="25" t="str">
        <f aca="false">IF(OR(U190="",V190=""),"",U190+V190)</f>
        <v/>
      </c>
      <c r="Y190" s="39" t="str">
        <f aca="false">IF(OR(O190="",AA190=""),"",O190*AA190)</f>
        <v/>
      </c>
      <c r="Z190" s="40"/>
      <c r="AA190" s="40"/>
      <c r="AB190" s="30" t="str">
        <f aca="false">IFERROR(X190/P190,"")</f>
        <v/>
      </c>
      <c r="AC190" s="44"/>
      <c r="AD190" s="44"/>
      <c r="AE190" s="44"/>
    </row>
    <row r="191" customFormat="false" ht="15" hidden="false" customHeight="true" outlineLevel="0" collapsed="false">
      <c r="A191" s="46"/>
      <c r="B191" s="46"/>
      <c r="C191" s="46"/>
      <c r="D191" s="46"/>
      <c r="E191" s="46"/>
      <c r="F191" s="46"/>
      <c r="G191" s="47"/>
      <c r="H191" s="48"/>
      <c r="I191" s="48"/>
      <c r="J191" s="48"/>
      <c r="K191" s="48"/>
      <c r="L191" s="48"/>
      <c r="M191" s="40"/>
      <c r="N191" s="40"/>
      <c r="O191" s="49"/>
      <c r="P191" s="49"/>
      <c r="Q191" s="25" t="str">
        <f aca="false">IF(OR(O191="",P191=""),"",O191-P191)</f>
        <v/>
      </c>
      <c r="R191" s="24"/>
      <c r="S191" s="50"/>
      <c r="T191" s="50"/>
      <c r="U191" s="49"/>
      <c r="V191" s="49"/>
      <c r="W191" s="49"/>
      <c r="X191" s="25" t="str">
        <f aca="false">IF(OR(U191="",V191=""),"",U191+V191)</f>
        <v/>
      </c>
      <c r="Y191" s="39" t="str">
        <f aca="false">IF(OR(O191="",AA191=""),"",O191*AA191)</f>
        <v/>
      </c>
      <c r="Z191" s="40"/>
      <c r="AA191" s="40"/>
      <c r="AB191" s="30" t="str">
        <f aca="false">IFERROR(X191/P191,"")</f>
        <v/>
      </c>
      <c r="AC191" s="44"/>
      <c r="AD191" s="44"/>
      <c r="AE191" s="44"/>
    </row>
    <row r="192" customFormat="false" ht="15" hidden="false" customHeight="true" outlineLevel="0" collapsed="false">
      <c r="A192" s="46"/>
      <c r="B192" s="46"/>
      <c r="C192" s="46"/>
      <c r="D192" s="46"/>
      <c r="E192" s="46"/>
      <c r="F192" s="46"/>
      <c r="G192" s="47"/>
      <c r="H192" s="48"/>
      <c r="I192" s="48"/>
      <c r="J192" s="48"/>
      <c r="K192" s="48"/>
      <c r="L192" s="48"/>
      <c r="M192" s="40"/>
      <c r="N192" s="40"/>
      <c r="O192" s="49"/>
      <c r="P192" s="49"/>
      <c r="Q192" s="25" t="str">
        <f aca="false">IF(OR(O192="",P192=""),"",O192-P192)</f>
        <v/>
      </c>
      <c r="R192" s="24"/>
      <c r="S192" s="50"/>
      <c r="T192" s="50"/>
      <c r="U192" s="49"/>
      <c r="V192" s="49"/>
      <c r="W192" s="49"/>
      <c r="X192" s="25" t="str">
        <f aca="false">IF(OR(U192="",V192=""),"",U192+V192)</f>
        <v/>
      </c>
      <c r="Y192" s="39" t="str">
        <f aca="false">IF(OR(O192="",AA192=""),"",O192*AA192)</f>
        <v/>
      </c>
      <c r="Z192" s="40"/>
      <c r="AA192" s="40"/>
      <c r="AB192" s="30" t="str">
        <f aca="false">IFERROR(X192/P192,"")</f>
        <v/>
      </c>
      <c r="AC192" s="44"/>
      <c r="AD192" s="44"/>
      <c r="AE192" s="44"/>
    </row>
    <row r="193" customFormat="false" ht="15" hidden="false" customHeight="true" outlineLevel="0" collapsed="false">
      <c r="A193" s="46"/>
      <c r="B193" s="46"/>
      <c r="C193" s="46"/>
      <c r="D193" s="46"/>
      <c r="E193" s="46"/>
      <c r="F193" s="46"/>
      <c r="G193" s="47"/>
      <c r="H193" s="48"/>
      <c r="I193" s="48"/>
      <c r="J193" s="48"/>
      <c r="K193" s="48"/>
      <c r="L193" s="48"/>
      <c r="M193" s="40"/>
      <c r="N193" s="40"/>
      <c r="O193" s="49"/>
      <c r="P193" s="49"/>
      <c r="Q193" s="25" t="str">
        <f aca="false">IF(OR(O193="",P193=""),"",O193-P193)</f>
        <v/>
      </c>
      <c r="R193" s="24"/>
      <c r="S193" s="50"/>
      <c r="T193" s="50"/>
      <c r="U193" s="49"/>
      <c r="V193" s="49"/>
      <c r="W193" s="49"/>
      <c r="X193" s="25" t="str">
        <f aca="false">IF(OR(U193="",V193=""),"",U193+V193)</f>
        <v/>
      </c>
      <c r="Y193" s="39" t="str">
        <f aca="false">IF(OR(O193="",AA193=""),"",O193*AA193)</f>
        <v/>
      </c>
      <c r="Z193" s="40"/>
      <c r="AA193" s="40"/>
      <c r="AB193" s="30" t="str">
        <f aca="false">IFERROR(X193/P193,"")</f>
        <v/>
      </c>
      <c r="AC193" s="44"/>
      <c r="AD193" s="44"/>
      <c r="AE193" s="44"/>
    </row>
    <row r="194" customFormat="false" ht="15" hidden="false" customHeight="true" outlineLevel="0" collapsed="false">
      <c r="A194" s="46"/>
      <c r="B194" s="46"/>
      <c r="C194" s="46"/>
      <c r="D194" s="46"/>
      <c r="E194" s="46"/>
      <c r="F194" s="46"/>
      <c r="G194" s="47"/>
      <c r="H194" s="48"/>
      <c r="I194" s="48"/>
      <c r="J194" s="48"/>
      <c r="K194" s="48"/>
      <c r="L194" s="48"/>
      <c r="M194" s="40"/>
      <c r="N194" s="40"/>
      <c r="O194" s="49"/>
      <c r="P194" s="49"/>
      <c r="Q194" s="25" t="str">
        <f aca="false">IF(OR(O194="",P194=""),"",O194-P194)</f>
        <v/>
      </c>
      <c r="R194" s="24"/>
      <c r="S194" s="50"/>
      <c r="T194" s="50"/>
      <c r="U194" s="49"/>
      <c r="V194" s="49"/>
      <c r="W194" s="49"/>
      <c r="X194" s="25" t="str">
        <f aca="false">IF(OR(U194="",V194=""),"",U194+V194)</f>
        <v/>
      </c>
      <c r="Y194" s="39" t="str">
        <f aca="false">IF(OR(O194="",AA194=""),"",O194*AA194)</f>
        <v/>
      </c>
      <c r="Z194" s="40"/>
      <c r="AA194" s="40"/>
      <c r="AB194" s="30" t="str">
        <f aca="false">IFERROR(X194/P194,"")</f>
        <v/>
      </c>
      <c r="AC194" s="44"/>
      <c r="AD194" s="44"/>
      <c r="AE194" s="44"/>
    </row>
    <row r="195" customFormat="false" ht="15" hidden="false" customHeight="true" outlineLevel="0" collapsed="false">
      <c r="A195" s="46"/>
      <c r="B195" s="46"/>
      <c r="C195" s="46"/>
      <c r="D195" s="46"/>
      <c r="E195" s="46"/>
      <c r="F195" s="46"/>
      <c r="G195" s="47"/>
      <c r="H195" s="48"/>
      <c r="I195" s="48"/>
      <c r="J195" s="48"/>
      <c r="K195" s="48"/>
      <c r="L195" s="48"/>
      <c r="M195" s="40"/>
      <c r="N195" s="40"/>
      <c r="O195" s="49"/>
      <c r="P195" s="49"/>
      <c r="Q195" s="25" t="str">
        <f aca="false">IF(OR(O195="",P195=""),"",O195-P195)</f>
        <v/>
      </c>
      <c r="R195" s="24"/>
      <c r="S195" s="50"/>
      <c r="T195" s="50"/>
      <c r="U195" s="49"/>
      <c r="V195" s="49"/>
      <c r="W195" s="49"/>
      <c r="X195" s="25" t="str">
        <f aca="false">IF(OR(U195="",V195=""),"",U195+V195)</f>
        <v/>
      </c>
      <c r="Y195" s="39" t="str">
        <f aca="false">IF(OR(O195="",AA195=""),"",O195*AA195)</f>
        <v/>
      </c>
      <c r="Z195" s="40"/>
      <c r="AA195" s="40"/>
      <c r="AB195" s="30" t="str">
        <f aca="false">IFERROR(X195/P195,"")</f>
        <v/>
      </c>
      <c r="AC195" s="44"/>
      <c r="AD195" s="44"/>
      <c r="AE195" s="44"/>
    </row>
    <row r="196" customFormat="false" ht="15" hidden="false" customHeight="true" outlineLevel="0" collapsed="false">
      <c r="A196" s="46"/>
      <c r="B196" s="46"/>
      <c r="C196" s="46"/>
      <c r="D196" s="46"/>
      <c r="E196" s="46"/>
      <c r="F196" s="46"/>
      <c r="G196" s="47"/>
      <c r="H196" s="48"/>
      <c r="I196" s="48"/>
      <c r="J196" s="48"/>
      <c r="K196" s="48"/>
      <c r="L196" s="48"/>
      <c r="M196" s="40"/>
      <c r="N196" s="40"/>
      <c r="O196" s="49"/>
      <c r="P196" s="49"/>
      <c r="Q196" s="25" t="str">
        <f aca="false">IF(OR(O196="",P196=""),"",O196-P196)</f>
        <v/>
      </c>
      <c r="R196" s="24"/>
      <c r="S196" s="50"/>
      <c r="T196" s="50"/>
      <c r="U196" s="49"/>
      <c r="V196" s="49"/>
      <c r="W196" s="49"/>
      <c r="X196" s="25" t="str">
        <f aca="false">IF(OR(U196="",V196=""),"",U196+V196)</f>
        <v/>
      </c>
      <c r="Y196" s="39" t="str">
        <f aca="false">IF(OR(O196="",AA196=""),"",O196*AA196)</f>
        <v/>
      </c>
      <c r="Z196" s="40"/>
      <c r="AA196" s="40"/>
      <c r="AB196" s="30" t="str">
        <f aca="false">IFERROR(X196/P196,"")</f>
        <v/>
      </c>
      <c r="AC196" s="44"/>
      <c r="AD196" s="44"/>
      <c r="AE196" s="44"/>
    </row>
    <row r="197" customFormat="false" ht="15" hidden="false" customHeight="true" outlineLevel="0" collapsed="false">
      <c r="A197" s="46"/>
      <c r="B197" s="46"/>
      <c r="C197" s="46"/>
      <c r="D197" s="46"/>
      <c r="E197" s="46"/>
      <c r="F197" s="46"/>
      <c r="G197" s="47"/>
      <c r="H197" s="48"/>
      <c r="I197" s="48"/>
      <c r="J197" s="48"/>
      <c r="K197" s="48"/>
      <c r="L197" s="48"/>
      <c r="M197" s="40"/>
      <c r="N197" s="40"/>
      <c r="O197" s="49"/>
      <c r="P197" s="49"/>
      <c r="Q197" s="25" t="str">
        <f aca="false">IF(OR(O197="",P197=""),"",O197-P197)</f>
        <v/>
      </c>
      <c r="R197" s="24"/>
      <c r="S197" s="50"/>
      <c r="T197" s="50"/>
      <c r="U197" s="49"/>
      <c r="V197" s="49"/>
      <c r="W197" s="49"/>
      <c r="X197" s="25" t="str">
        <f aca="false">IF(OR(U197="",V197=""),"",U197+V197)</f>
        <v/>
      </c>
      <c r="Y197" s="39" t="str">
        <f aca="false">IF(OR(O197="",AA197=""),"",O197*AA197)</f>
        <v/>
      </c>
      <c r="Z197" s="40"/>
      <c r="AA197" s="40"/>
      <c r="AB197" s="30" t="str">
        <f aca="false">IFERROR(X197/P197,"")</f>
        <v/>
      </c>
      <c r="AC197" s="44"/>
      <c r="AD197" s="44"/>
      <c r="AE197" s="44"/>
    </row>
    <row r="198" customFormat="false" ht="15" hidden="false" customHeight="true" outlineLevel="0" collapsed="false">
      <c r="A198" s="46"/>
      <c r="B198" s="46"/>
      <c r="C198" s="46"/>
      <c r="D198" s="46"/>
      <c r="E198" s="46"/>
      <c r="F198" s="46"/>
      <c r="G198" s="47"/>
      <c r="H198" s="48"/>
      <c r="I198" s="48"/>
      <c r="J198" s="48"/>
      <c r="K198" s="48"/>
      <c r="L198" s="48"/>
      <c r="M198" s="40"/>
      <c r="N198" s="40"/>
      <c r="O198" s="49"/>
      <c r="P198" s="49"/>
      <c r="Q198" s="25" t="str">
        <f aca="false">IF(OR(O198="",P198=""),"",O198-P198)</f>
        <v/>
      </c>
      <c r="R198" s="24"/>
      <c r="S198" s="50"/>
      <c r="T198" s="50"/>
      <c r="U198" s="49"/>
      <c r="V198" s="49"/>
      <c r="W198" s="49"/>
      <c r="X198" s="25" t="str">
        <f aca="false">IF(OR(U198="",V198=""),"",U198+V198)</f>
        <v/>
      </c>
      <c r="Y198" s="39" t="str">
        <f aca="false">IF(OR(O198="",AA198=""),"",O198*AA198)</f>
        <v/>
      </c>
      <c r="Z198" s="40"/>
      <c r="AA198" s="40"/>
      <c r="AB198" s="30" t="str">
        <f aca="false">IFERROR(X198/P198,"")</f>
        <v/>
      </c>
      <c r="AC198" s="44"/>
      <c r="AD198" s="44"/>
      <c r="AE198" s="44"/>
    </row>
    <row r="199" customFormat="false" ht="15" hidden="false" customHeight="true" outlineLevel="0" collapsed="false">
      <c r="A199" s="46"/>
      <c r="B199" s="46"/>
      <c r="C199" s="46"/>
      <c r="D199" s="46"/>
      <c r="E199" s="46"/>
      <c r="F199" s="46"/>
      <c r="G199" s="47"/>
      <c r="H199" s="48"/>
      <c r="I199" s="48"/>
      <c r="J199" s="48"/>
      <c r="K199" s="48"/>
      <c r="L199" s="48"/>
      <c r="M199" s="40"/>
      <c r="N199" s="40"/>
      <c r="O199" s="49"/>
      <c r="P199" s="49"/>
      <c r="Q199" s="25" t="str">
        <f aca="false">IF(OR(O199="",P199=""),"",O199-P199)</f>
        <v/>
      </c>
      <c r="R199" s="24"/>
      <c r="S199" s="50"/>
      <c r="T199" s="50"/>
      <c r="U199" s="49"/>
      <c r="V199" s="49"/>
      <c r="W199" s="49"/>
      <c r="X199" s="25" t="str">
        <f aca="false">IF(OR(U199="",V199=""),"",U199+V199)</f>
        <v/>
      </c>
      <c r="Y199" s="39" t="str">
        <f aca="false">IF(OR(O199="",AA199=""),"",O199*AA199)</f>
        <v/>
      </c>
      <c r="Z199" s="40"/>
      <c r="AA199" s="40"/>
      <c r="AB199" s="30" t="str">
        <f aca="false">IFERROR(X199/P199,"")</f>
        <v/>
      </c>
      <c r="AC199" s="44"/>
      <c r="AD199" s="44"/>
      <c r="AE199" s="44"/>
    </row>
    <row r="200" customFormat="false" ht="15" hidden="false" customHeight="true" outlineLevel="0" collapsed="false">
      <c r="A200" s="46"/>
      <c r="B200" s="46"/>
      <c r="C200" s="46"/>
      <c r="D200" s="46"/>
      <c r="E200" s="46"/>
      <c r="F200" s="46"/>
      <c r="G200" s="47"/>
      <c r="H200" s="48"/>
      <c r="I200" s="48"/>
      <c r="J200" s="48"/>
      <c r="K200" s="48"/>
      <c r="L200" s="48"/>
      <c r="M200" s="40"/>
      <c r="N200" s="40"/>
      <c r="O200" s="49"/>
      <c r="P200" s="49"/>
      <c r="Q200" s="25" t="str">
        <f aca="false">IF(OR(O200="",P200=""),"",O200-P200)</f>
        <v/>
      </c>
      <c r="R200" s="24"/>
      <c r="S200" s="50"/>
      <c r="T200" s="50"/>
      <c r="U200" s="49"/>
      <c r="V200" s="49"/>
      <c r="W200" s="49"/>
      <c r="X200" s="25" t="str">
        <f aca="false">IF(OR(U200="",V200=""),"",U200+V200)</f>
        <v/>
      </c>
      <c r="Y200" s="39" t="str">
        <f aca="false">IF(OR(O200="",AA200=""),"",O200*AA200)</f>
        <v/>
      </c>
      <c r="Z200" s="40"/>
      <c r="AA200" s="40"/>
      <c r="AB200" s="30" t="str">
        <f aca="false">IFERROR(X200/P200,"")</f>
        <v/>
      </c>
      <c r="AC200" s="44"/>
      <c r="AD200" s="44"/>
      <c r="AE200" s="44"/>
    </row>
    <row r="201" customFormat="false" ht="15" hidden="false" customHeight="true" outlineLevel="0" collapsed="false">
      <c r="A201" s="46"/>
      <c r="B201" s="46"/>
      <c r="C201" s="46"/>
      <c r="D201" s="46"/>
      <c r="E201" s="46"/>
      <c r="F201" s="46"/>
      <c r="G201" s="47"/>
      <c r="H201" s="48"/>
      <c r="I201" s="48"/>
      <c r="J201" s="48"/>
      <c r="K201" s="48"/>
      <c r="L201" s="48"/>
      <c r="M201" s="40"/>
      <c r="N201" s="40"/>
      <c r="O201" s="49"/>
      <c r="P201" s="49"/>
      <c r="Q201" s="25" t="str">
        <f aca="false">IF(OR(O201="",P201=""),"",O201-P201)</f>
        <v/>
      </c>
      <c r="R201" s="24"/>
      <c r="S201" s="50"/>
      <c r="T201" s="50"/>
      <c r="U201" s="49"/>
      <c r="V201" s="49"/>
      <c r="W201" s="49"/>
      <c r="X201" s="25" t="str">
        <f aca="false">IF(OR(U201="",V201=""),"",U201+V201)</f>
        <v/>
      </c>
      <c r="Y201" s="39" t="str">
        <f aca="false">IF(OR(O201="",AA201=""),"",O201*AA201)</f>
        <v/>
      </c>
      <c r="Z201" s="40"/>
      <c r="AA201" s="40"/>
      <c r="AB201" s="30" t="str">
        <f aca="false">IFERROR(X201/P201,"")</f>
        <v/>
      </c>
      <c r="AC201" s="44"/>
      <c r="AD201" s="44"/>
      <c r="AE201" s="44"/>
    </row>
    <row r="202" customFormat="false" ht="15" hidden="false" customHeight="true" outlineLevel="0" collapsed="false">
      <c r="A202" s="46"/>
      <c r="B202" s="46"/>
      <c r="C202" s="46"/>
      <c r="D202" s="46"/>
      <c r="E202" s="46"/>
      <c r="F202" s="46"/>
      <c r="G202" s="47"/>
      <c r="H202" s="48"/>
      <c r="I202" s="48"/>
      <c r="J202" s="48"/>
      <c r="K202" s="48"/>
      <c r="L202" s="48"/>
      <c r="M202" s="40"/>
      <c r="N202" s="40"/>
      <c r="O202" s="49"/>
      <c r="P202" s="49"/>
      <c r="Q202" s="25" t="str">
        <f aca="false">IF(OR(O202="",P202=""),"",O202-P202)</f>
        <v/>
      </c>
      <c r="R202" s="24"/>
      <c r="S202" s="50"/>
      <c r="T202" s="50"/>
      <c r="U202" s="49"/>
      <c r="V202" s="49"/>
      <c r="W202" s="49"/>
      <c r="X202" s="25" t="str">
        <f aca="false">IF(OR(U202="",V202=""),"",U202+V202)</f>
        <v/>
      </c>
      <c r="Y202" s="39" t="str">
        <f aca="false">IF(OR(O202="",AA202=""),"",O202*AA202)</f>
        <v/>
      </c>
      <c r="Z202" s="40"/>
      <c r="AA202" s="40"/>
      <c r="AB202" s="30" t="str">
        <f aca="false">IFERROR(X202/P202,"")</f>
        <v/>
      </c>
      <c r="AC202" s="44"/>
      <c r="AD202" s="44"/>
      <c r="AE202" s="44"/>
    </row>
    <row r="203" customFormat="false" ht="15" hidden="false" customHeight="true" outlineLevel="0" collapsed="false">
      <c r="A203" s="46"/>
      <c r="B203" s="46"/>
      <c r="C203" s="46"/>
      <c r="D203" s="46"/>
      <c r="E203" s="46"/>
      <c r="F203" s="46"/>
      <c r="G203" s="47"/>
      <c r="H203" s="48"/>
      <c r="I203" s="48"/>
      <c r="J203" s="48"/>
      <c r="K203" s="48"/>
      <c r="L203" s="48"/>
      <c r="M203" s="40"/>
      <c r="N203" s="40"/>
      <c r="O203" s="49"/>
      <c r="P203" s="49"/>
      <c r="Q203" s="25" t="str">
        <f aca="false">IF(OR(O203="",P203=""),"",O203-P203)</f>
        <v/>
      </c>
      <c r="R203" s="24"/>
      <c r="S203" s="50"/>
      <c r="T203" s="50"/>
      <c r="U203" s="49"/>
      <c r="V203" s="49"/>
      <c r="W203" s="49"/>
      <c r="X203" s="25" t="str">
        <f aca="false">IF(OR(U203="",V203=""),"",U203+V203)</f>
        <v/>
      </c>
      <c r="Y203" s="39" t="str">
        <f aca="false">IF(OR(O203="",AA203=""),"",O203*AA203)</f>
        <v/>
      </c>
      <c r="Z203" s="40"/>
      <c r="AA203" s="40"/>
      <c r="AB203" s="30" t="str">
        <f aca="false">IFERROR(X203/P203,"")</f>
        <v/>
      </c>
      <c r="AC203" s="44"/>
      <c r="AD203" s="44"/>
      <c r="AE203" s="44"/>
    </row>
    <row r="204" customFormat="false" ht="15" hidden="false" customHeight="true" outlineLevel="0" collapsed="false">
      <c r="A204" s="46"/>
      <c r="B204" s="46"/>
      <c r="C204" s="46"/>
      <c r="D204" s="46"/>
      <c r="E204" s="46"/>
      <c r="F204" s="46"/>
      <c r="G204" s="47"/>
      <c r="H204" s="48"/>
      <c r="I204" s="48"/>
      <c r="J204" s="48"/>
      <c r="K204" s="48"/>
      <c r="L204" s="48"/>
      <c r="M204" s="40"/>
      <c r="N204" s="40"/>
      <c r="O204" s="49"/>
      <c r="P204" s="49"/>
      <c r="Q204" s="25" t="str">
        <f aca="false">IF(OR(O204="",P204=""),"",O204-P204)</f>
        <v/>
      </c>
      <c r="R204" s="24"/>
      <c r="S204" s="50"/>
      <c r="T204" s="50"/>
      <c r="U204" s="49"/>
      <c r="V204" s="49"/>
      <c r="W204" s="49"/>
      <c r="X204" s="25" t="str">
        <f aca="false">IF(OR(U204="",V204=""),"",U204+V204)</f>
        <v/>
      </c>
      <c r="Y204" s="39" t="str">
        <f aca="false">IF(OR(O204="",AA204=""),"",O204*AA204)</f>
        <v/>
      </c>
      <c r="Z204" s="40"/>
      <c r="AA204" s="40"/>
      <c r="AB204" s="30" t="str">
        <f aca="false">IFERROR(X204/P204,"")</f>
        <v/>
      </c>
      <c r="AC204" s="44"/>
      <c r="AD204" s="44"/>
      <c r="AE204" s="44"/>
    </row>
    <row r="205" customFormat="false" ht="15" hidden="false" customHeight="true" outlineLevel="0" collapsed="false">
      <c r="A205" s="46"/>
      <c r="B205" s="46"/>
      <c r="C205" s="46"/>
      <c r="D205" s="46"/>
      <c r="E205" s="46"/>
      <c r="F205" s="46"/>
      <c r="G205" s="47"/>
      <c r="H205" s="48"/>
      <c r="I205" s="48"/>
      <c r="J205" s="48"/>
      <c r="K205" s="48"/>
      <c r="L205" s="48"/>
      <c r="M205" s="40"/>
      <c r="N205" s="40"/>
      <c r="O205" s="49"/>
      <c r="P205" s="49"/>
      <c r="Q205" s="25" t="str">
        <f aca="false">IF(OR(O205="",P205=""),"",O205-P205)</f>
        <v/>
      </c>
      <c r="R205" s="24"/>
      <c r="S205" s="50"/>
      <c r="T205" s="50"/>
      <c r="U205" s="49"/>
      <c r="V205" s="49"/>
      <c r="W205" s="49"/>
      <c r="X205" s="25" t="str">
        <f aca="false">IF(OR(U205="",V205=""),"",U205+V205)</f>
        <v/>
      </c>
      <c r="Y205" s="39" t="str">
        <f aca="false">IF(OR(O205="",AA205=""),"",O205*AA205)</f>
        <v/>
      </c>
      <c r="Z205" s="40"/>
      <c r="AA205" s="40"/>
      <c r="AB205" s="30" t="str">
        <f aca="false">IFERROR(X205/P205,"")</f>
        <v/>
      </c>
      <c r="AC205" s="44"/>
      <c r="AD205" s="44"/>
      <c r="AE205" s="44"/>
    </row>
    <row r="206" customFormat="false" ht="15" hidden="false" customHeight="true" outlineLevel="0" collapsed="false">
      <c r="A206" s="46"/>
      <c r="B206" s="46"/>
      <c r="C206" s="46"/>
      <c r="D206" s="46"/>
      <c r="E206" s="46"/>
      <c r="F206" s="46"/>
      <c r="G206" s="47"/>
      <c r="H206" s="48"/>
      <c r="I206" s="48"/>
      <c r="J206" s="48"/>
      <c r="K206" s="48"/>
      <c r="L206" s="48"/>
      <c r="M206" s="40"/>
      <c r="N206" s="40"/>
      <c r="O206" s="49"/>
      <c r="P206" s="49"/>
      <c r="Q206" s="25" t="str">
        <f aca="false">IF(OR(O206="",P206=""),"",O206-P206)</f>
        <v/>
      </c>
      <c r="R206" s="24"/>
      <c r="S206" s="50"/>
      <c r="T206" s="50"/>
      <c r="U206" s="49"/>
      <c r="V206" s="49"/>
      <c r="W206" s="49"/>
      <c r="X206" s="25" t="str">
        <f aca="false">IF(OR(U206="",V206=""),"",U206+V206)</f>
        <v/>
      </c>
      <c r="Y206" s="39" t="str">
        <f aca="false">IF(OR(O206="",AA206=""),"",O206*AA206)</f>
        <v/>
      </c>
      <c r="Z206" s="40"/>
      <c r="AA206" s="40"/>
      <c r="AB206" s="30" t="str">
        <f aca="false">IFERROR(X206/P206,"")</f>
        <v/>
      </c>
      <c r="AC206" s="44"/>
      <c r="AD206" s="44"/>
      <c r="AE206" s="44"/>
    </row>
  </sheetData>
  <sheetProtection sheet="true" formatCells="false" formatColumns="false" formatRows="false" deleteColumns="false"/>
  <mergeCells count="4">
    <mergeCell ref="B2:D2"/>
    <mergeCell ref="E2:H2"/>
    <mergeCell ref="I2:L2"/>
    <mergeCell ref="A3:L3"/>
  </mergeCells>
  <dataValidations count="5">
    <dataValidation allowBlank="true" errorStyle="stop" operator="between" showDropDown="false" showErrorMessage="false" showInputMessage="false" sqref="D7:D206" type="list">
      <formula1>Lists!$B$2:$B$6</formula1>
      <formula2>0</formula2>
    </dataValidation>
    <dataValidation allowBlank="true" errorStyle="stop" operator="between" showDropDown="false" showErrorMessage="false" showInputMessage="false" sqref="I7:I206" type="list">
      <formula1>Lists!$B$7:$B$11</formula1>
      <formula2>0</formula2>
    </dataValidation>
    <dataValidation allowBlank="true" errorStyle="stop" operator="between" showDropDown="false" showErrorMessage="false" showInputMessage="false" sqref="J7:J206" type="list">
      <formula1>Lists!$B$12:$B$18</formula1>
      <formula2>0</formula2>
    </dataValidation>
    <dataValidation allowBlank="true" errorStyle="stop" operator="between" showDropDown="false" showErrorMessage="false" showInputMessage="false" sqref="L7:L206" type="list">
      <formula1>Lists!$B$19:$B$23</formula1>
      <formula2>0</formula2>
    </dataValidation>
    <dataValidation allowBlank="true" errorStyle="stop" operator="between" showDropDown="false" showErrorMessage="false" showInputMessage="false" sqref="G7:G206" type="list">
      <formula1>Lists!$B$24:$B$30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38" activePane="bottomLeft" state="frozen"/>
      <selection pane="topLeft" activeCell="A1" activeCellId="0" sqref="A1"/>
      <selection pane="bottomLeft" activeCell="E48" activeCellId="0" sqref="E48"/>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6"/>
    <col collapsed="false" customWidth="true" hidden="false" outlineLevel="0" max="4" min="4" style="1" width="19.82"/>
    <col collapsed="false" customWidth="true" hidden="false" outlineLevel="0" max="5" min="5" style="1" width="14"/>
    <col collapsed="false" customWidth="true" hidden="false" outlineLevel="0" max="6" min="6" style="1" width="40"/>
  </cols>
  <sheetData>
    <row r="1" customFormat="false" ht="21" hidden="false" customHeight="true" outlineLevel="0" collapsed="false">
      <c r="A1" s="51" t="s">
        <v>170</v>
      </c>
      <c r="B1" s="51"/>
      <c r="C1" s="51"/>
      <c r="D1" s="51"/>
      <c r="E1" s="51"/>
      <c r="F1" s="51"/>
      <c r="G1" s="51"/>
      <c r="H1" s="51"/>
    </row>
    <row r="2" customFormat="false" ht="15" hidden="false" customHeight="true" outlineLevel="0" collapsed="false">
      <c r="A2" s="16" t="s">
        <v>52</v>
      </c>
      <c r="B2" s="17" t="s">
        <v>171</v>
      </c>
      <c r="C2" s="17"/>
      <c r="D2" s="17"/>
      <c r="E2" s="18" t="s">
        <v>172</v>
      </c>
      <c r="F2" s="18"/>
      <c r="G2" s="18"/>
    </row>
    <row r="3" customFormat="false" ht="45" hidden="false" customHeight="true" outlineLevel="0" collapsed="false">
      <c r="A3" s="20" t="s">
        <v>173</v>
      </c>
      <c r="B3" s="20"/>
      <c r="C3" s="20"/>
      <c r="D3" s="20"/>
      <c r="E3" s="20"/>
      <c r="F3" s="20"/>
      <c r="G3" s="20"/>
      <c r="H3" s="20"/>
    </row>
    <row r="5" customFormat="false" ht="15" hidden="false" customHeight="true" outlineLevel="0" collapsed="false">
      <c r="A5" s="52" t="s">
        <v>174</v>
      </c>
      <c r="B5" s="52" t="s">
        <v>58</v>
      </c>
      <c r="C5" s="52" t="s">
        <v>66</v>
      </c>
      <c r="D5" s="52" t="s">
        <v>175</v>
      </c>
      <c r="E5" s="52" t="s">
        <v>176</v>
      </c>
      <c r="F5" s="52" t="s">
        <v>85</v>
      </c>
      <c r="G5" s="52" t="s">
        <v>177</v>
      </c>
      <c r="H5" s="52" t="s">
        <v>178</v>
      </c>
    </row>
    <row r="6" customFormat="false" ht="15" hidden="false" customHeight="true" outlineLevel="0" collapsed="false">
      <c r="A6" s="53" t="n">
        <v>45873</v>
      </c>
      <c r="B6" s="54" t="s">
        <v>89</v>
      </c>
      <c r="C6" s="54" t="s">
        <v>97</v>
      </c>
      <c r="D6" s="54" t="s">
        <v>179</v>
      </c>
      <c r="E6" s="55" t="n">
        <v>-50000</v>
      </c>
      <c r="F6" s="42"/>
      <c r="G6" s="56" t="str">
        <f aca="false">IF($D6="Capital Call",IF(SUMPRODUCT(($B$6:$B6=$B6)*($D$6:$D6="Capital Call"))=1,"Initial","Ongoing"),"")</f>
        <v>Initial</v>
      </c>
    </row>
    <row r="7" customFormat="false" ht="15" hidden="false" customHeight="true" outlineLevel="0" collapsed="false">
      <c r="A7" s="53" t="n">
        <v>45903</v>
      </c>
      <c r="B7" s="54" t="s">
        <v>104</v>
      </c>
      <c r="C7" s="54" t="s">
        <v>97</v>
      </c>
      <c r="D7" s="54" t="s">
        <v>179</v>
      </c>
      <c r="E7" s="55" t="n">
        <v>-50000</v>
      </c>
      <c r="F7" s="42"/>
      <c r="G7" s="56" t="str">
        <f aca="false">IF($D7="Capital Call",IF(SUMPRODUCT(($B$6:$B7=$B7)*($D$6:$D7="Capital Call"))=1,"Initial","Ongoing"),"")</f>
        <v>Initial</v>
      </c>
    </row>
    <row r="8" customFormat="false" ht="15" hidden="false" customHeight="true" outlineLevel="0" collapsed="false">
      <c r="A8" s="53" t="n">
        <v>45915</v>
      </c>
      <c r="B8" s="54" t="s">
        <v>113</v>
      </c>
      <c r="C8" s="54" t="s">
        <v>97</v>
      </c>
      <c r="D8" s="54" t="s">
        <v>179</v>
      </c>
      <c r="E8" s="55" t="n">
        <v>-10000</v>
      </c>
      <c r="F8" s="42"/>
      <c r="G8" s="56" t="str">
        <f aca="false">IF($D8="Capital Call",IF(SUMPRODUCT(($B$6:$B8=$B8)*($D$6:$D8="Capital Call"))=1,"Initial","Ongoing"),"")</f>
        <v>Initial</v>
      </c>
    </row>
    <row r="9" customFormat="false" ht="15" hidden="false" customHeight="true" outlineLevel="0" collapsed="false">
      <c r="A9" s="53" t="n">
        <v>45945</v>
      </c>
      <c r="B9" s="54" t="s">
        <v>124</v>
      </c>
      <c r="C9" s="54" t="s">
        <v>97</v>
      </c>
      <c r="D9" s="54" t="s">
        <v>179</v>
      </c>
      <c r="E9" s="55" t="n">
        <v>-5000</v>
      </c>
      <c r="F9" s="42"/>
      <c r="G9" s="56" t="str">
        <f aca="false">IF($D9="Capital Call",IF(SUMPRODUCT(($B$6:$B9=$B9)*($D$6:$D9="Capital Call"))=1,"Initial","Ongoing"),"")</f>
        <v>Initial</v>
      </c>
    </row>
    <row r="10" customFormat="false" ht="15" hidden="false" customHeight="true" outlineLevel="0" collapsed="false">
      <c r="A10" s="53" t="n">
        <v>45971</v>
      </c>
      <c r="B10" s="54" t="s">
        <v>130</v>
      </c>
      <c r="C10" s="54" t="s">
        <v>97</v>
      </c>
      <c r="D10" s="54" t="s">
        <v>179</v>
      </c>
      <c r="E10" s="55" t="n">
        <v>-10000</v>
      </c>
      <c r="F10" s="42"/>
      <c r="G10" s="56" t="str">
        <f aca="false">IF($D10="Capital Call",IF(SUMPRODUCT(($B$6:$B10=$B10)*($D$6:$D10="Capital Call"))=1,"Initial","Ongoing"),"")</f>
        <v>Initial</v>
      </c>
    </row>
    <row r="11" customFormat="false" ht="15" hidden="false" customHeight="true" outlineLevel="0" collapsed="false">
      <c r="A11" s="53" t="n">
        <v>45915</v>
      </c>
      <c r="B11" s="54" t="s">
        <v>135</v>
      </c>
      <c r="C11" s="54" t="s">
        <v>97</v>
      </c>
      <c r="D11" s="54" t="s">
        <v>179</v>
      </c>
      <c r="E11" s="55" t="n">
        <v>-50000</v>
      </c>
      <c r="F11" s="42"/>
      <c r="G11" s="56" t="str">
        <f aca="false">IF($D11="Capital Call",IF(SUMPRODUCT(($B$6:$B11=$B11)*($D$6:$D11="Capital Call"))=1,"Initial","Ongoing"),"")</f>
        <v>Initial</v>
      </c>
    </row>
    <row r="12" customFormat="false" ht="15" hidden="false" customHeight="true" outlineLevel="0" collapsed="false">
      <c r="A12" s="53" t="n">
        <v>46287</v>
      </c>
      <c r="B12" s="54" t="s">
        <v>141</v>
      </c>
      <c r="C12" s="54" t="s">
        <v>97</v>
      </c>
      <c r="D12" s="54" t="s">
        <v>179</v>
      </c>
      <c r="E12" s="55" t="n">
        <v>-20000</v>
      </c>
      <c r="F12" s="42"/>
      <c r="G12" s="56" t="str">
        <f aca="false">IF($D12="Capital Call",IF(SUMPRODUCT(($B$6:$B12=$B12)*($D$6:$D12="Capital Call"))=1,"Initial","Ongoing"),"")</f>
        <v>Initial</v>
      </c>
    </row>
    <row r="13" customFormat="false" ht="15" hidden="false" customHeight="true" outlineLevel="0" collapsed="false">
      <c r="A13" s="53" t="n">
        <v>46070</v>
      </c>
      <c r="B13" s="54" t="s">
        <v>147</v>
      </c>
      <c r="C13" s="54" t="s">
        <v>97</v>
      </c>
      <c r="D13" s="54" t="s">
        <v>179</v>
      </c>
      <c r="E13" s="55" t="n">
        <v>-50000</v>
      </c>
      <c r="F13" s="42"/>
      <c r="G13" s="56" t="str">
        <f aca="false">IF($D13="Capital Call",IF(SUMPRODUCT(($B$6:$B13=$B13)*($D$6:$D13="Capital Call"))=1,"Initial","Ongoing"),"")</f>
        <v>Initial</v>
      </c>
    </row>
    <row r="14" customFormat="false" ht="15" hidden="false" customHeight="true" outlineLevel="0" collapsed="false">
      <c r="A14" s="53" t="n">
        <v>46071</v>
      </c>
      <c r="B14" s="54" t="s">
        <v>150</v>
      </c>
      <c r="C14" s="54" t="s">
        <v>97</v>
      </c>
      <c r="D14" s="54" t="s">
        <v>179</v>
      </c>
      <c r="E14" s="55" t="n">
        <v>-50000</v>
      </c>
      <c r="F14" s="42"/>
      <c r="G14" s="56" t="str">
        <f aca="false">IF($D14="Capital Call",IF(SUMPRODUCT(($B$6:$B14=$B14)*($D$6:$D14="Capital Call"))=1,"Initial","Ongoing"),"")</f>
        <v>Initial</v>
      </c>
    </row>
    <row r="15" customFormat="false" ht="15" hidden="false" customHeight="true" outlineLevel="0" collapsed="false">
      <c r="A15" s="53" t="n">
        <v>46116</v>
      </c>
      <c r="B15" s="54" t="s">
        <v>153</v>
      </c>
      <c r="C15" s="54" t="s">
        <v>97</v>
      </c>
      <c r="D15" s="54" t="s">
        <v>179</v>
      </c>
      <c r="E15" s="55" t="n">
        <v>-25000</v>
      </c>
      <c r="F15" s="42"/>
      <c r="G15" s="56" t="str">
        <f aca="false">IF($D15="Capital Call",IF(SUMPRODUCT(($B$6:$B15=$B15)*($D$6:$D15="Capital Call"))=1,"Initial","Ongoing"),"")</f>
        <v>Initial</v>
      </c>
    </row>
    <row r="16" customFormat="false" ht="15" hidden="false" customHeight="true" outlineLevel="0" collapsed="false">
      <c r="A16" s="53" t="n">
        <v>46129</v>
      </c>
      <c r="B16" s="54" t="s">
        <v>159</v>
      </c>
      <c r="C16" s="54" t="s">
        <v>97</v>
      </c>
      <c r="D16" s="54" t="s">
        <v>179</v>
      </c>
      <c r="E16" s="55" t="n">
        <v>-10000</v>
      </c>
      <c r="F16" s="42"/>
      <c r="G16" s="56" t="str">
        <f aca="false">IF($D16="Capital Call",IF(SUMPRODUCT(($B$6:$B16=$B16)*($D$6:$D16="Capital Call"))=1,"Initial","Ongoing"),"")</f>
        <v>Initial</v>
      </c>
    </row>
    <row r="17" customFormat="false" ht="12" hidden="false" customHeight="true" outlineLevel="0" collapsed="false">
      <c r="A17" s="53" t="n">
        <v>46164</v>
      </c>
      <c r="B17" s="54" t="s">
        <v>135</v>
      </c>
      <c r="C17" s="54" t="s">
        <v>97</v>
      </c>
      <c r="D17" s="54" t="s">
        <v>179</v>
      </c>
      <c r="E17" s="55" t="n">
        <v>-12500</v>
      </c>
      <c r="F17" s="42"/>
      <c r="G17" s="56" t="str">
        <f aca="false">IF($D17="Capital Call",IF(SUMPRODUCT(($B$6:$B17=$B17)*($D$6:$D17="Capital Call"))=1,"Initial","Ongoing"),"")</f>
        <v>Ongoing</v>
      </c>
    </row>
    <row r="18" customFormat="false" ht="15" hidden="false" customHeight="true" outlineLevel="0" collapsed="false">
      <c r="A18" s="53" t="n">
        <v>46174</v>
      </c>
      <c r="B18" s="54" t="s">
        <v>164</v>
      </c>
      <c r="C18" s="54" t="s">
        <v>97</v>
      </c>
      <c r="D18" s="54" t="s">
        <v>179</v>
      </c>
      <c r="E18" s="55" t="n">
        <v>-10000</v>
      </c>
      <c r="F18" s="42"/>
      <c r="G18" s="56" t="str">
        <f aca="false">IF($D18="Capital Call",IF(SUMPRODUCT(($B$6:$B18=$B18)*($D$6:$D18="Capital Call"))=1,"Initial","Ongoing"),"")</f>
        <v>Initial</v>
      </c>
    </row>
    <row r="19" customFormat="false" ht="15" hidden="false" customHeight="true" outlineLevel="0" collapsed="false">
      <c r="A19" s="53" t="n">
        <v>46174</v>
      </c>
      <c r="B19" s="54" t="s">
        <v>89</v>
      </c>
      <c r="C19" s="54" t="s">
        <v>97</v>
      </c>
      <c r="D19" s="54" t="s">
        <v>180</v>
      </c>
      <c r="E19" s="55" t="n">
        <v>750</v>
      </c>
      <c r="F19" s="42"/>
      <c r="G19" s="56" t="str">
        <f aca="false">IF($D19="Capital Call",IF(SUMPRODUCT(($B$6:$B19=$B19)*($D$6:$D19="Capital Call"))=1,"Initial","Ongoing"),"")</f>
        <v/>
      </c>
    </row>
    <row r="20" customFormat="false" ht="15" hidden="false" customHeight="true" outlineLevel="0" collapsed="false">
      <c r="A20" s="53" t="n">
        <v>46256</v>
      </c>
      <c r="B20" s="54" t="s">
        <v>135</v>
      </c>
      <c r="C20" s="54" t="s">
        <v>97</v>
      </c>
      <c r="D20" s="54" t="s">
        <v>179</v>
      </c>
      <c r="E20" s="55" t="n">
        <v>-12500</v>
      </c>
      <c r="F20" s="42"/>
      <c r="G20" s="56" t="str">
        <f aca="false">IF($D20="Capital Call",IF(SUMPRODUCT(($B$6:$B20=$B20)*($D$6:$D20="Capital Call"))=1,"Initial","Ongoing"),"")</f>
        <v>Ongoing</v>
      </c>
    </row>
    <row r="21" customFormat="false" ht="15" hidden="false" customHeight="true" outlineLevel="0" collapsed="false">
      <c r="A21" s="53" t="n">
        <v>46266</v>
      </c>
      <c r="B21" s="54" t="s">
        <v>89</v>
      </c>
      <c r="C21" s="54" t="s">
        <v>97</v>
      </c>
      <c r="D21" s="54" t="s">
        <v>180</v>
      </c>
      <c r="E21" s="55" t="n">
        <v>750</v>
      </c>
      <c r="F21" s="42"/>
      <c r="G21" s="56" t="str">
        <f aca="false">IF($D21="Capital Call",IF(SUMPRODUCT(($B$6:$B21=$B21)*($D$6:$D21="Capital Call"))=1,"Initial","Ongoing"),"")</f>
        <v/>
      </c>
    </row>
    <row r="22" customFormat="false" ht="15" hidden="false" customHeight="true" outlineLevel="0" collapsed="false">
      <c r="A22" s="53" t="n">
        <v>46266</v>
      </c>
      <c r="B22" s="54" t="s">
        <v>164</v>
      </c>
      <c r="C22" s="54" t="s">
        <v>97</v>
      </c>
      <c r="D22" s="54" t="s">
        <v>179</v>
      </c>
      <c r="E22" s="55" t="n">
        <v>-10000</v>
      </c>
      <c r="F22" s="42"/>
      <c r="G22" s="56" t="str">
        <f aca="false">IF($D22="Capital Call",IF(SUMPRODUCT(($B$6:$B22=$B22)*($D$6:$D22="Capital Call"))=1,"Initial","Ongoing"),"")</f>
        <v>Ongoing</v>
      </c>
    </row>
    <row r="23" customFormat="false" ht="15" hidden="false" customHeight="true" outlineLevel="0" collapsed="false">
      <c r="A23" s="53" t="n">
        <v>46268</v>
      </c>
      <c r="B23" s="54" t="s">
        <v>104</v>
      </c>
      <c r="C23" s="54" t="s">
        <v>97</v>
      </c>
      <c r="D23" s="54" t="s">
        <v>180</v>
      </c>
      <c r="E23" s="55" t="n">
        <v>7500</v>
      </c>
      <c r="F23" s="42"/>
      <c r="G23" s="56" t="str">
        <f aca="false">IF($D23="Capital Call",IF(SUMPRODUCT(($B$6:$B23=$B23)*($D$6:$D23="Capital Call"))=1,"Initial","Ongoing"),"")</f>
        <v/>
      </c>
    </row>
    <row r="24" customFormat="false" ht="15" hidden="false" customHeight="true" outlineLevel="0" collapsed="false">
      <c r="A24" s="53" t="n">
        <v>46348</v>
      </c>
      <c r="B24" s="54" t="s">
        <v>135</v>
      </c>
      <c r="C24" s="54" t="s">
        <v>97</v>
      </c>
      <c r="D24" s="54" t="s">
        <v>179</v>
      </c>
      <c r="E24" s="55" t="n">
        <v>-12500</v>
      </c>
      <c r="F24" s="42"/>
      <c r="G24" s="56" t="str">
        <f aca="false">IF($D24="Capital Call",IF(SUMPRODUCT(($B$6:$B24=$B24)*($D$6:$D24="Capital Call"))=1,"Initial","Ongoing"),"")</f>
        <v>Ongoing</v>
      </c>
    </row>
    <row r="25" customFormat="false" ht="15" hidden="false" customHeight="true" outlineLevel="0" collapsed="false">
      <c r="A25" s="53" t="n">
        <v>46357</v>
      </c>
      <c r="B25" s="54" t="s">
        <v>89</v>
      </c>
      <c r="C25" s="54" t="s">
        <v>97</v>
      </c>
      <c r="D25" s="54" t="s">
        <v>180</v>
      </c>
      <c r="E25" s="55" t="n">
        <v>750</v>
      </c>
      <c r="F25" s="42"/>
      <c r="G25" s="56" t="str">
        <f aca="false">IF($D25="Capital Call",IF(SUMPRODUCT(($B$6:$B25=$B25)*($D$6:$D25="Capital Call"))=1,"Initial","Ongoing"),"")</f>
        <v/>
      </c>
    </row>
    <row r="26" customFormat="false" ht="15" hidden="false" customHeight="true" outlineLevel="0" collapsed="false">
      <c r="A26" s="53" t="n">
        <v>46357</v>
      </c>
      <c r="B26" s="54" t="s">
        <v>164</v>
      </c>
      <c r="C26" s="54" t="s">
        <v>97</v>
      </c>
      <c r="D26" s="54" t="s">
        <v>179</v>
      </c>
      <c r="E26" s="55" t="n">
        <v>-10000</v>
      </c>
      <c r="F26" s="42"/>
      <c r="G26" s="56" t="str">
        <f aca="false">IF($D26="Capital Call",IF(SUMPRODUCT(($B$6:$B26=$B26)*($D$6:$D26="Capital Call"))=1,"Initial","Ongoing"),"")</f>
        <v>Ongoing</v>
      </c>
    </row>
    <row r="27" customFormat="false" ht="15" hidden="false" customHeight="true" outlineLevel="0" collapsed="false">
      <c r="A27" s="53" t="n">
        <v>46436</v>
      </c>
      <c r="B27" s="54" t="s">
        <v>150</v>
      </c>
      <c r="C27" s="54" t="s">
        <v>97</v>
      </c>
      <c r="D27" s="54" t="s">
        <v>180</v>
      </c>
      <c r="E27" s="55" t="n">
        <v>7500</v>
      </c>
      <c r="F27" s="42"/>
      <c r="G27" s="56" t="str">
        <f aca="false">IF($D27="Capital Call",IF(SUMPRODUCT(($B$6:$B27=$B27)*($D$6:$D27="Capital Call"))=1,"Initial","Ongoing"),"")</f>
        <v/>
      </c>
    </row>
    <row r="28" customFormat="false" ht="15" hidden="false" customHeight="true" outlineLevel="0" collapsed="false">
      <c r="A28" s="53" t="n">
        <v>46440</v>
      </c>
      <c r="B28" s="54" t="s">
        <v>135</v>
      </c>
      <c r="C28" s="54" t="s">
        <v>97</v>
      </c>
      <c r="D28" s="54" t="s">
        <v>179</v>
      </c>
      <c r="E28" s="55" t="n">
        <v>-12500</v>
      </c>
      <c r="F28" s="42"/>
      <c r="G28" s="56" t="str">
        <f aca="false">IF($D28="Capital Call",IF(SUMPRODUCT(($B$6:$B28=$B28)*($D$6:$D28="Capital Call"))=1,"Initial","Ongoing"),"")</f>
        <v>Ongoing</v>
      </c>
    </row>
    <row r="29" customFormat="false" ht="15" hidden="false" customHeight="true" outlineLevel="0" collapsed="false">
      <c r="A29" s="53" t="n">
        <v>46447</v>
      </c>
      <c r="B29" s="54" t="s">
        <v>89</v>
      </c>
      <c r="C29" s="54" t="s">
        <v>97</v>
      </c>
      <c r="D29" s="54" t="s">
        <v>180</v>
      </c>
      <c r="E29" s="55" t="n">
        <v>750</v>
      </c>
      <c r="F29" s="42"/>
      <c r="G29" s="56" t="str">
        <f aca="false">IF($D29="Capital Call",IF(SUMPRODUCT(($B$6:$B29=$B29)*($D$6:$D29="Capital Call"))=1,"Initial","Ongoing"),"")</f>
        <v/>
      </c>
    </row>
    <row r="30" customFormat="false" ht="15" hidden="false" customHeight="true" outlineLevel="0" collapsed="false">
      <c r="A30" s="53" t="n">
        <v>46447</v>
      </c>
      <c r="B30" s="54" t="s">
        <v>147</v>
      </c>
      <c r="C30" s="54" t="s">
        <v>97</v>
      </c>
      <c r="D30" s="54" t="s">
        <v>180</v>
      </c>
      <c r="E30" s="55" t="n">
        <v>750</v>
      </c>
      <c r="F30" s="42"/>
      <c r="G30" s="56" t="str">
        <f aca="false">IF($D30="Capital Call",IF(SUMPRODUCT(($B$6:$B30=$B30)*($D$6:$D30="Capital Call"))=1,"Initial","Ongoing"),"")</f>
        <v/>
      </c>
    </row>
    <row r="31" customFormat="false" ht="15" hidden="false" customHeight="true" outlineLevel="0" collapsed="false">
      <c r="A31" s="53" t="n">
        <v>46447</v>
      </c>
      <c r="B31" s="54" t="s">
        <v>164</v>
      </c>
      <c r="C31" s="54" t="s">
        <v>97</v>
      </c>
      <c r="D31" s="54" t="s">
        <v>179</v>
      </c>
      <c r="E31" s="55" t="n">
        <v>-10000</v>
      </c>
      <c r="F31" s="42"/>
      <c r="G31" s="56" t="str">
        <f aca="false">IF($D31="Capital Call",IF(SUMPRODUCT(($B$6:$B31=$B31)*($D$6:$D31="Capital Call"))=1,"Initial","Ongoing"),"")</f>
        <v>Ongoing</v>
      </c>
    </row>
    <row r="32" customFormat="false" ht="15" hidden="false" customHeight="true" outlineLevel="0" collapsed="false">
      <c r="A32" s="53" t="n">
        <v>46529</v>
      </c>
      <c r="B32" s="54" t="s">
        <v>135</v>
      </c>
      <c r="C32" s="54" t="s">
        <v>97</v>
      </c>
      <c r="D32" s="54" t="s">
        <v>179</v>
      </c>
      <c r="E32" s="55" t="n">
        <v>-12500</v>
      </c>
      <c r="F32" s="42"/>
      <c r="G32" s="56" t="str">
        <f aca="false">IF($D32="Capital Call",IF(SUMPRODUCT(($B$6:$B32=$B32)*($D$6:$D32="Capital Call"))=1,"Initial","Ongoing"),"")</f>
        <v>Ongoing</v>
      </c>
    </row>
    <row r="33" customFormat="false" ht="15" hidden="false" customHeight="true" outlineLevel="0" collapsed="false">
      <c r="A33" s="53" t="n">
        <v>46539</v>
      </c>
      <c r="B33" s="54" t="s">
        <v>164</v>
      </c>
      <c r="C33" s="54" t="s">
        <v>97</v>
      </c>
      <c r="D33" s="54" t="s">
        <v>180</v>
      </c>
      <c r="E33" s="55" t="n">
        <v>3000</v>
      </c>
      <c r="F33" s="42"/>
      <c r="G33" s="56" t="str">
        <f aca="false">IF($D33="Capital Call",IF(SUMPRODUCT(($B$6:$B33=$B33)*($D$6:$D33="Capital Call"))=1,"Initial","Ongoing"),"")</f>
        <v/>
      </c>
    </row>
    <row r="34" customFormat="false" ht="15" hidden="false" customHeight="true" outlineLevel="0" collapsed="false">
      <c r="A34" s="53" t="n">
        <v>46539</v>
      </c>
      <c r="B34" s="54" t="s">
        <v>89</v>
      </c>
      <c r="C34" s="54" t="s">
        <v>97</v>
      </c>
      <c r="D34" s="54" t="s">
        <v>180</v>
      </c>
      <c r="E34" s="55" t="n">
        <v>750</v>
      </c>
      <c r="F34" s="42"/>
      <c r="G34" s="56" t="str">
        <f aca="false">IF($D34="Capital Call",IF(SUMPRODUCT(($B$6:$B34=$B34)*($D$6:$D34="Capital Call"))=1,"Initial","Ongoing"),"")</f>
        <v/>
      </c>
    </row>
    <row r="35" customFormat="false" ht="15" hidden="false" customHeight="true" outlineLevel="0" collapsed="false">
      <c r="A35" s="53" t="n">
        <v>46539</v>
      </c>
      <c r="B35" s="54" t="s">
        <v>147</v>
      </c>
      <c r="C35" s="54" t="s">
        <v>97</v>
      </c>
      <c r="D35" s="54" t="s">
        <v>180</v>
      </c>
      <c r="E35" s="55" t="n">
        <v>750</v>
      </c>
      <c r="F35" s="42"/>
      <c r="G35" s="56" t="str">
        <f aca="false">IF($D35="Capital Call",IF(SUMPRODUCT(($B$6:$B35=$B35)*($D$6:$D35="Capital Call"))=1,"Initial","Ongoing"),"")</f>
        <v/>
      </c>
    </row>
    <row r="36" customFormat="false" ht="15" hidden="false" customHeight="true" outlineLevel="0" collapsed="false">
      <c r="A36" s="53" t="n">
        <v>46539</v>
      </c>
      <c r="B36" s="54" t="s">
        <v>164</v>
      </c>
      <c r="C36" s="54" t="s">
        <v>97</v>
      </c>
      <c r="D36" s="54" t="s">
        <v>179</v>
      </c>
      <c r="E36" s="55" t="n">
        <v>-10000</v>
      </c>
      <c r="F36" s="42"/>
      <c r="G36" s="56" t="str">
        <f aca="false">IF($D36="Capital Call",IF(SUMPRODUCT(($B$6:$B36=$B36)*($D$6:$D36="Capital Call"))=1,"Initial","Ongoing"),"")</f>
        <v>Ongoing</v>
      </c>
    </row>
    <row r="37" customFormat="false" ht="15" hidden="false" customHeight="true" outlineLevel="0" collapsed="false">
      <c r="A37" s="53" t="n">
        <v>46621</v>
      </c>
      <c r="B37" s="54" t="s">
        <v>135</v>
      </c>
      <c r="C37" s="54" t="s">
        <v>97</v>
      </c>
      <c r="D37" s="54" t="s">
        <v>179</v>
      </c>
      <c r="E37" s="55" t="n">
        <v>-12500</v>
      </c>
      <c r="F37" s="42"/>
      <c r="G37" s="56" t="str">
        <f aca="false">IF($D37="Capital Call",IF(SUMPRODUCT(($B$6:$B37=$B37)*($D$6:$D37="Capital Call"))=1,"Initial","Ongoing"),"")</f>
        <v>Ongoing</v>
      </c>
    </row>
    <row r="38" customFormat="false" ht="15" hidden="false" customHeight="true" outlineLevel="0" collapsed="false">
      <c r="A38" s="53" t="n">
        <v>46631</v>
      </c>
      <c r="B38" s="54" t="s">
        <v>164</v>
      </c>
      <c r="C38" s="54" t="s">
        <v>97</v>
      </c>
      <c r="D38" s="54" t="s">
        <v>180</v>
      </c>
      <c r="E38" s="55" t="n">
        <v>3000</v>
      </c>
      <c r="F38" s="42"/>
      <c r="G38" s="56" t="str">
        <f aca="false">IF($D38="Capital Call",IF(SUMPRODUCT(($B$6:$B38=$B38)*($D$6:$D38="Capital Call"))=1,"Initial","Ongoing"),"")</f>
        <v/>
      </c>
    </row>
    <row r="39" customFormat="false" ht="15" hidden="false" customHeight="true" outlineLevel="0" collapsed="false">
      <c r="A39" s="53" t="n">
        <v>46631</v>
      </c>
      <c r="B39" s="54" t="s">
        <v>89</v>
      </c>
      <c r="C39" s="54" t="s">
        <v>97</v>
      </c>
      <c r="D39" s="54" t="s">
        <v>180</v>
      </c>
      <c r="E39" s="55" t="n">
        <v>750</v>
      </c>
      <c r="F39" s="42"/>
      <c r="G39" s="56" t="str">
        <f aca="false">IF($D39="Capital Call",IF(SUMPRODUCT(($B$6:$B39=$B39)*($D$6:$D39="Capital Call"))=1,"Initial","Ongoing"),"")</f>
        <v/>
      </c>
    </row>
    <row r="40" customFormat="false" ht="15" hidden="false" customHeight="true" outlineLevel="0" collapsed="false">
      <c r="A40" s="53" t="n">
        <v>46631</v>
      </c>
      <c r="B40" s="54" t="s">
        <v>147</v>
      </c>
      <c r="C40" s="54" t="s">
        <v>97</v>
      </c>
      <c r="D40" s="54" t="s">
        <v>180</v>
      </c>
      <c r="E40" s="55" t="n">
        <v>750</v>
      </c>
      <c r="F40" s="42"/>
      <c r="G40" s="56" t="str">
        <f aca="false">IF($D40="Capital Call",IF(SUMPRODUCT(($B$6:$B40=$B40)*($D$6:$D40="Capital Call"))=1,"Initial","Ongoing"),"")</f>
        <v/>
      </c>
    </row>
    <row r="41" customFormat="false" ht="15" hidden="false" customHeight="true" outlineLevel="0" collapsed="false">
      <c r="A41" s="53" t="n">
        <v>46631</v>
      </c>
      <c r="B41" s="54" t="s">
        <v>164</v>
      </c>
      <c r="C41" s="54" t="s">
        <v>97</v>
      </c>
      <c r="D41" s="54" t="s">
        <v>179</v>
      </c>
      <c r="E41" s="55" t="n">
        <v>-10000</v>
      </c>
      <c r="F41" s="42"/>
      <c r="G41" s="56" t="str">
        <f aca="false">IF($D41="Capital Call",IF(SUMPRODUCT(($B$6:$B41=$B41)*($D$6:$D41="Capital Call"))=1,"Initial","Ongoing"),"")</f>
        <v>Ongoing</v>
      </c>
    </row>
    <row r="42" customFormat="false" ht="15" hidden="false" customHeight="true" outlineLevel="0" collapsed="false">
      <c r="A42" s="53" t="n">
        <v>46633</v>
      </c>
      <c r="B42" s="54" t="s">
        <v>104</v>
      </c>
      <c r="C42" s="54" t="s">
        <v>97</v>
      </c>
      <c r="D42" s="54" t="s">
        <v>180</v>
      </c>
      <c r="E42" s="55" t="n">
        <v>7500</v>
      </c>
      <c r="F42" s="42"/>
      <c r="G42" s="56" t="str">
        <f aca="false">IF($D42="Capital Call",IF(SUMPRODUCT(($B$6:$B42=$B42)*($D$6:$D42="Capital Call"))=1,"Initial","Ongoing"),"")</f>
        <v/>
      </c>
    </row>
    <row r="43" customFormat="false" ht="15" hidden="false" customHeight="true" outlineLevel="0" collapsed="false">
      <c r="A43" s="53" t="n">
        <v>46713</v>
      </c>
      <c r="B43" s="54" t="s">
        <v>135</v>
      </c>
      <c r="C43" s="54" t="s">
        <v>97</v>
      </c>
      <c r="D43" s="54" t="s">
        <v>179</v>
      </c>
      <c r="E43" s="55" t="n">
        <v>-12500</v>
      </c>
      <c r="F43" s="42"/>
      <c r="G43" s="56" t="str">
        <f aca="false">IF($D43="Capital Call",IF(SUMPRODUCT(($B$6:$B43=$B43)*($D$6:$D43="Capital Call"))=1,"Initial","Ongoing"),"")</f>
        <v>Ongoing</v>
      </c>
    </row>
    <row r="44" customFormat="false" ht="15" hidden="false" customHeight="true" outlineLevel="0" collapsed="false">
      <c r="A44" s="53" t="n">
        <v>46722</v>
      </c>
      <c r="B44" s="54" t="s">
        <v>164</v>
      </c>
      <c r="C44" s="54" t="s">
        <v>97</v>
      </c>
      <c r="D44" s="54" t="s">
        <v>180</v>
      </c>
      <c r="E44" s="55" t="n">
        <v>3000</v>
      </c>
      <c r="F44" s="42"/>
      <c r="G44" s="56" t="str">
        <f aca="false">IF($D44="Capital Call",IF(SUMPRODUCT(($B$6:$B44=$B44)*($D$6:$D44="Capital Call"))=1,"Initial","Ongoing"),"")</f>
        <v/>
      </c>
    </row>
    <row r="45" customFormat="false" ht="15" hidden="false" customHeight="true" outlineLevel="0" collapsed="false">
      <c r="A45" s="53" t="n">
        <v>46722</v>
      </c>
      <c r="B45" s="54" t="s">
        <v>89</v>
      </c>
      <c r="C45" s="54" t="s">
        <v>97</v>
      </c>
      <c r="D45" s="54" t="s">
        <v>180</v>
      </c>
      <c r="E45" s="55" t="n">
        <v>750</v>
      </c>
      <c r="F45" s="42"/>
      <c r="G45" s="56" t="str">
        <f aca="false">IF($D45="Capital Call",IF(SUMPRODUCT(($B$6:$B45=$B45)*($D$6:$D45="Capital Call"))=1,"Initial","Ongoing"),"")</f>
        <v/>
      </c>
    </row>
    <row r="46" customFormat="false" ht="15" hidden="false" customHeight="true" outlineLevel="0" collapsed="false">
      <c r="A46" s="53" t="n">
        <v>46722</v>
      </c>
      <c r="B46" s="54" t="s">
        <v>147</v>
      </c>
      <c r="C46" s="54" t="s">
        <v>97</v>
      </c>
      <c r="D46" s="54" t="s">
        <v>180</v>
      </c>
      <c r="E46" s="55" t="n">
        <v>750</v>
      </c>
      <c r="F46" s="42"/>
      <c r="G46" s="56" t="str">
        <f aca="false">IF($D46="Capital Call",IF(SUMPRODUCT(($B$6:$B46=$B46)*($D$6:$D46="Capital Call"))=1,"Initial","Ongoing"),"")</f>
        <v/>
      </c>
    </row>
    <row r="47" customFormat="false" ht="15" hidden="false" customHeight="true" outlineLevel="0" collapsed="false">
      <c r="A47" s="53" t="n">
        <v>46722</v>
      </c>
      <c r="B47" s="54" t="s">
        <v>164</v>
      </c>
      <c r="C47" s="54" t="s">
        <v>97</v>
      </c>
      <c r="D47" s="54" t="s">
        <v>179</v>
      </c>
      <c r="E47" s="55" t="n">
        <v>-10000</v>
      </c>
      <c r="F47" s="42"/>
      <c r="G47" s="56" t="str">
        <f aca="false">IF($D47="Capital Call",IF(SUMPRODUCT(($B$6:$B47=$B47)*($D$6:$D47="Capital Call"))=1,"Initial","Ongoing"),"")</f>
        <v>Ongoing</v>
      </c>
    </row>
    <row r="48" customFormat="false" ht="15" hidden="false" customHeight="true" outlineLevel="0" collapsed="false">
      <c r="A48" s="53" t="n">
        <v>46801</v>
      </c>
      <c r="B48" s="54" t="s">
        <v>150</v>
      </c>
      <c r="C48" s="54" t="s">
        <v>97</v>
      </c>
      <c r="D48" s="54" t="s">
        <v>180</v>
      </c>
      <c r="E48" s="55" t="n">
        <v>7500</v>
      </c>
      <c r="F48" s="42"/>
      <c r="G48" s="56" t="str">
        <f aca="false">IF($D48="Capital Call",IF(SUMPRODUCT(($B$6:$B48=$B48)*($D$6:$D48="Capital Call"))=1,"Initial","Ongoing"),"")</f>
        <v/>
      </c>
    </row>
    <row r="49" customFormat="false" ht="15" hidden="false" customHeight="true" outlineLevel="0" collapsed="false">
      <c r="A49" s="53" t="n">
        <v>46805</v>
      </c>
      <c r="B49" s="54" t="s">
        <v>135</v>
      </c>
      <c r="C49" s="54" t="s">
        <v>97</v>
      </c>
      <c r="D49" s="54" t="s">
        <v>179</v>
      </c>
      <c r="E49" s="55" t="n">
        <v>-12500</v>
      </c>
      <c r="F49" s="42"/>
      <c r="G49" s="56" t="str">
        <f aca="false">IF($D49="Capital Call",IF(SUMPRODUCT(($B$6:$B49=$B49)*($D$6:$D49="Capital Call"))=1,"Initial","Ongoing"),"")</f>
        <v>Ongoing</v>
      </c>
    </row>
    <row r="50" customFormat="false" ht="15" hidden="false" customHeight="true" outlineLevel="0" collapsed="false">
      <c r="A50" s="53" t="n">
        <v>46813</v>
      </c>
      <c r="B50" s="54" t="s">
        <v>164</v>
      </c>
      <c r="C50" s="54" t="s">
        <v>97</v>
      </c>
      <c r="D50" s="54" t="s">
        <v>180</v>
      </c>
      <c r="E50" s="55" t="n">
        <v>3000</v>
      </c>
      <c r="F50" s="42"/>
      <c r="G50" s="56" t="str">
        <f aca="false">IF($D50="Capital Call",IF(SUMPRODUCT(($B$6:$B50=$B50)*($D$6:$D50="Capital Call"))=1,"Initial","Ongoing"),"")</f>
        <v/>
      </c>
    </row>
    <row r="51" customFormat="false" ht="15" hidden="false" customHeight="true" outlineLevel="0" collapsed="false">
      <c r="A51" s="53" t="n">
        <v>46813</v>
      </c>
      <c r="B51" s="54" t="s">
        <v>89</v>
      </c>
      <c r="C51" s="54" t="s">
        <v>97</v>
      </c>
      <c r="D51" s="54" t="s">
        <v>180</v>
      </c>
      <c r="E51" s="55" t="n">
        <v>750</v>
      </c>
      <c r="F51" s="42"/>
      <c r="G51" s="56" t="str">
        <f aca="false">IF($D51="Capital Call",IF(SUMPRODUCT(($B$6:$B51=$B51)*($D$6:$D51="Capital Call"))=1,"Initial","Ongoing"),"")</f>
        <v/>
      </c>
    </row>
    <row r="52" customFormat="false" ht="15" hidden="false" customHeight="true" outlineLevel="0" collapsed="false">
      <c r="A52" s="53" t="n">
        <v>46813</v>
      </c>
      <c r="B52" s="54" t="s">
        <v>147</v>
      </c>
      <c r="C52" s="54" t="s">
        <v>97</v>
      </c>
      <c r="D52" s="54" t="s">
        <v>180</v>
      </c>
      <c r="E52" s="55" t="n">
        <v>750</v>
      </c>
      <c r="F52" s="42"/>
      <c r="G52" s="56" t="str">
        <f aca="false">IF($D52="Capital Call",IF(SUMPRODUCT(($B$6:$B52=$B52)*($D$6:$D52="Capital Call"))=1,"Initial","Ongoing"),"")</f>
        <v/>
      </c>
    </row>
    <row r="53" customFormat="false" ht="15" hidden="false" customHeight="true" outlineLevel="0" collapsed="false">
      <c r="A53" s="53" t="n">
        <v>46813</v>
      </c>
      <c r="B53" s="54" t="s">
        <v>164</v>
      </c>
      <c r="C53" s="54" t="s">
        <v>97</v>
      </c>
      <c r="D53" s="54" t="s">
        <v>179</v>
      </c>
      <c r="E53" s="55" t="n">
        <v>-10000</v>
      </c>
      <c r="F53" s="42"/>
      <c r="G53" s="56" t="str">
        <f aca="false">IF($D53="Capital Call",IF(SUMPRODUCT(($B$6:$B53=$B53)*($D$6:$D53="Capital Call"))=1,"Initial","Ongoing"),"")</f>
        <v>Ongoing</v>
      </c>
    </row>
    <row r="54" customFormat="false" ht="15" hidden="false" customHeight="true" outlineLevel="0" collapsed="false">
      <c r="A54" s="53" t="n">
        <v>46895</v>
      </c>
      <c r="B54" s="54" t="s">
        <v>135</v>
      </c>
      <c r="C54" s="54" t="s">
        <v>97</v>
      </c>
      <c r="D54" s="54" t="s">
        <v>179</v>
      </c>
      <c r="E54" s="55" t="n">
        <v>-12500</v>
      </c>
      <c r="F54" s="42"/>
      <c r="G54" s="56" t="str">
        <f aca="false">IF($D54="Capital Call",IF(SUMPRODUCT(($B$6:$B54=$B54)*($D$6:$D54="Capital Call"))=1,"Initial","Ongoing"),"")</f>
        <v>Ongoing</v>
      </c>
    </row>
    <row r="55" customFormat="false" ht="15" hidden="false" customHeight="true" outlineLevel="0" collapsed="false">
      <c r="A55" s="53" t="n">
        <v>46905</v>
      </c>
      <c r="B55" s="54" t="s">
        <v>164</v>
      </c>
      <c r="C55" s="54" t="s">
        <v>97</v>
      </c>
      <c r="D55" s="54" t="s">
        <v>180</v>
      </c>
      <c r="E55" s="55" t="n">
        <v>3000</v>
      </c>
      <c r="F55" s="42"/>
      <c r="G55" s="56" t="str">
        <f aca="false">IF($D55="Capital Call",IF(SUMPRODUCT(($B$6:$B55=$B55)*($D$6:$D55="Capital Call"))=1,"Initial","Ongoing"),"")</f>
        <v/>
      </c>
    </row>
    <row r="56" customFormat="false" ht="15" hidden="false" customHeight="true" outlineLevel="0" collapsed="false">
      <c r="A56" s="53" t="n">
        <v>46905</v>
      </c>
      <c r="B56" s="54" t="s">
        <v>89</v>
      </c>
      <c r="C56" s="54" t="s">
        <v>97</v>
      </c>
      <c r="D56" s="54" t="s">
        <v>180</v>
      </c>
      <c r="E56" s="55" t="n">
        <v>750</v>
      </c>
      <c r="F56" s="42"/>
      <c r="G56" s="56" t="str">
        <f aca="false">IF($D56="Capital Call",IF(SUMPRODUCT(($B$6:$B56=$B56)*($D$6:$D56="Capital Call"))=1,"Initial","Ongoing"),"")</f>
        <v/>
      </c>
    </row>
    <row r="57" customFormat="false" ht="15" hidden="false" customHeight="true" outlineLevel="0" collapsed="false">
      <c r="A57" s="53" t="n">
        <v>46905</v>
      </c>
      <c r="B57" s="54" t="s">
        <v>147</v>
      </c>
      <c r="C57" s="54" t="s">
        <v>97</v>
      </c>
      <c r="D57" s="54" t="s">
        <v>180</v>
      </c>
      <c r="E57" s="55" t="n">
        <v>750</v>
      </c>
      <c r="F57" s="42"/>
      <c r="G57" s="56" t="str">
        <f aca="false">IF($D57="Capital Call",IF(SUMPRODUCT(($B$6:$B57=$B57)*($D$6:$D57="Capital Call"))=1,"Initial","Ongoing"),"")</f>
        <v/>
      </c>
    </row>
    <row r="58" customFormat="false" ht="15" hidden="false" customHeight="true" outlineLevel="0" collapsed="false">
      <c r="A58" s="53" t="n">
        <v>46905</v>
      </c>
      <c r="B58" s="54" t="s">
        <v>164</v>
      </c>
      <c r="C58" s="54" t="s">
        <v>97</v>
      </c>
      <c r="D58" s="54" t="s">
        <v>179</v>
      </c>
      <c r="E58" s="55" t="n">
        <v>-10000</v>
      </c>
      <c r="F58" s="42"/>
      <c r="G58" s="56" t="str">
        <f aca="false">IF($D58="Capital Call",IF(SUMPRODUCT(($B$6:$B58=$B58)*($D$6:$D58="Capital Call"))=1,"Initial","Ongoing"),"")</f>
        <v>Ongoing</v>
      </c>
    </row>
    <row r="59" customFormat="false" ht="15" hidden="false" customHeight="true" outlineLevel="0" collapsed="false">
      <c r="A59" s="53" t="n">
        <v>46987</v>
      </c>
      <c r="B59" s="54" t="s">
        <v>135</v>
      </c>
      <c r="C59" s="54" t="s">
        <v>97</v>
      </c>
      <c r="D59" s="54" t="s">
        <v>179</v>
      </c>
      <c r="E59" s="55" t="n">
        <v>-12500</v>
      </c>
      <c r="F59" s="42"/>
      <c r="G59" s="56" t="str">
        <f aca="false">IF($D59="Capital Call",IF(SUMPRODUCT(($B$6:$B59=$B59)*($D$6:$D59="Capital Call"))=1,"Initial","Ongoing"),"")</f>
        <v>Ongoing</v>
      </c>
    </row>
    <row r="60" customFormat="false" ht="15" hidden="false" customHeight="true" outlineLevel="0" collapsed="false">
      <c r="A60" s="53" t="n">
        <v>46997</v>
      </c>
      <c r="B60" s="54" t="s">
        <v>164</v>
      </c>
      <c r="C60" s="54" t="s">
        <v>97</v>
      </c>
      <c r="D60" s="54" t="s">
        <v>180</v>
      </c>
      <c r="E60" s="55" t="n">
        <v>3000</v>
      </c>
      <c r="F60" s="42"/>
      <c r="G60" s="56" t="str">
        <f aca="false">IF($D60="Capital Call",IF(SUMPRODUCT(($B$6:$B60=$B60)*($D$6:$D60="Capital Call"))=1,"Initial","Ongoing"),"")</f>
        <v/>
      </c>
    </row>
    <row r="61" customFormat="false" ht="15" hidden="false" customHeight="true" outlineLevel="0" collapsed="false">
      <c r="A61" s="53" t="n">
        <v>46997</v>
      </c>
      <c r="B61" s="54" t="s">
        <v>89</v>
      </c>
      <c r="C61" s="54" t="s">
        <v>97</v>
      </c>
      <c r="D61" s="54" t="s">
        <v>180</v>
      </c>
      <c r="E61" s="55" t="n">
        <v>750</v>
      </c>
      <c r="F61" s="42"/>
      <c r="G61" s="56" t="str">
        <f aca="false">IF($D61="Capital Call",IF(SUMPRODUCT(($B$6:$B61=$B61)*($D$6:$D61="Capital Call"))=1,"Initial","Ongoing"),"")</f>
        <v/>
      </c>
    </row>
    <row r="62" customFormat="false" ht="15" hidden="false" customHeight="true" outlineLevel="0" collapsed="false">
      <c r="A62" s="53" t="n">
        <v>46997</v>
      </c>
      <c r="B62" s="54" t="s">
        <v>147</v>
      </c>
      <c r="C62" s="54" t="s">
        <v>97</v>
      </c>
      <c r="D62" s="54" t="s">
        <v>180</v>
      </c>
      <c r="E62" s="55" t="n">
        <v>750</v>
      </c>
      <c r="F62" s="42"/>
      <c r="G62" s="56" t="str">
        <f aca="false">IF($D62="Capital Call",IF(SUMPRODUCT(($B$6:$B62=$B62)*($D$6:$D62="Capital Call"))=1,"Initial","Ongoing"),"")</f>
        <v/>
      </c>
    </row>
    <row r="63" customFormat="false" ht="15" hidden="false" customHeight="true" outlineLevel="0" collapsed="false">
      <c r="A63" s="53" t="n">
        <v>46997</v>
      </c>
      <c r="B63" s="54" t="s">
        <v>164</v>
      </c>
      <c r="C63" s="54" t="s">
        <v>97</v>
      </c>
      <c r="D63" s="54" t="s">
        <v>179</v>
      </c>
      <c r="E63" s="55" t="n">
        <v>-10000</v>
      </c>
      <c r="F63" s="42"/>
      <c r="G63" s="56" t="str">
        <f aca="false">IF($D63="Capital Call",IF(SUMPRODUCT(($B$6:$B63=$B63)*($D$6:$D63="Capital Call"))=1,"Initial","Ongoing"),"")</f>
        <v>Ongoing</v>
      </c>
    </row>
    <row r="64" customFormat="false" ht="15" hidden="false" customHeight="true" outlineLevel="0" collapsed="false">
      <c r="A64" s="53" t="n">
        <v>46998</v>
      </c>
      <c r="B64" s="54" t="s">
        <v>104</v>
      </c>
      <c r="C64" s="54" t="s">
        <v>97</v>
      </c>
      <c r="D64" s="54" t="s">
        <v>180</v>
      </c>
      <c r="E64" s="55" t="n">
        <v>7500</v>
      </c>
      <c r="F64" s="42"/>
      <c r="G64" s="56" t="str">
        <f aca="false">IF($D64="Capital Call",IF(SUMPRODUCT(($B$6:$B64=$B64)*($D$6:$D64="Capital Call"))=1,"Initial","Ongoing"),"")</f>
        <v/>
      </c>
    </row>
    <row r="65" customFormat="false" ht="15" hidden="false" customHeight="true" outlineLevel="0" collapsed="false">
      <c r="A65" s="53" t="n">
        <v>47079</v>
      </c>
      <c r="B65" s="54" t="s">
        <v>135</v>
      </c>
      <c r="C65" s="54" t="s">
        <v>97</v>
      </c>
      <c r="D65" s="54" t="s">
        <v>179</v>
      </c>
      <c r="E65" s="55" t="n">
        <v>-12500</v>
      </c>
      <c r="F65" s="42"/>
      <c r="G65" s="56" t="str">
        <f aca="false">IF($D65="Capital Call",IF(SUMPRODUCT(($B$6:$B65=$B65)*($D$6:$D65="Capital Call"))=1,"Initial","Ongoing"),"")</f>
        <v>Ongoing</v>
      </c>
    </row>
    <row r="66" customFormat="false" ht="15" hidden="false" customHeight="true" outlineLevel="0" collapsed="false">
      <c r="A66" s="53" t="n">
        <v>47088</v>
      </c>
      <c r="B66" s="54" t="s">
        <v>164</v>
      </c>
      <c r="C66" s="54" t="s">
        <v>97</v>
      </c>
      <c r="D66" s="54" t="s">
        <v>180</v>
      </c>
      <c r="E66" s="55" t="n">
        <v>3000</v>
      </c>
      <c r="F66" s="42"/>
      <c r="G66" s="56" t="str">
        <f aca="false">IF($D66="Capital Call",IF(SUMPRODUCT(($B$6:$B66=$B66)*($D$6:$D66="Capital Call"))=1,"Initial","Ongoing"),"")</f>
        <v/>
      </c>
    </row>
    <row r="67" customFormat="false" ht="15" hidden="false" customHeight="true" outlineLevel="0" collapsed="false">
      <c r="A67" s="53" t="n">
        <v>47088</v>
      </c>
      <c r="B67" s="54" t="s">
        <v>89</v>
      </c>
      <c r="C67" s="54" t="s">
        <v>97</v>
      </c>
      <c r="D67" s="54" t="s">
        <v>180</v>
      </c>
      <c r="E67" s="55" t="n">
        <v>750</v>
      </c>
      <c r="F67" s="42"/>
      <c r="G67" s="56" t="str">
        <f aca="false">IF($D67="Capital Call",IF(SUMPRODUCT(($B$6:$B67=$B67)*($D$6:$D67="Capital Call"))=1,"Initial","Ongoing"),"")</f>
        <v/>
      </c>
    </row>
    <row r="68" customFormat="false" ht="15" hidden="false" customHeight="true" outlineLevel="0" collapsed="false">
      <c r="A68" s="53" t="n">
        <v>47088</v>
      </c>
      <c r="B68" s="54" t="s">
        <v>147</v>
      </c>
      <c r="C68" s="54" t="s">
        <v>97</v>
      </c>
      <c r="D68" s="54" t="s">
        <v>180</v>
      </c>
      <c r="E68" s="55" t="n">
        <v>750</v>
      </c>
      <c r="F68" s="42"/>
      <c r="G68" s="56" t="str">
        <f aca="false">IF($D68="Capital Call",IF(SUMPRODUCT(($B$6:$B68=$B68)*($D$6:$D68="Capital Call"))=1,"Initial","Ongoing"),"")</f>
        <v/>
      </c>
    </row>
    <row r="69" customFormat="false" ht="15" hidden="false" customHeight="true" outlineLevel="0" collapsed="false">
      <c r="A69" s="53" t="n">
        <v>47167</v>
      </c>
      <c r="B69" s="54" t="s">
        <v>150</v>
      </c>
      <c r="C69" s="54" t="s">
        <v>97</v>
      </c>
      <c r="D69" s="54" t="s">
        <v>180</v>
      </c>
      <c r="E69" s="55" t="n">
        <v>7500</v>
      </c>
      <c r="F69" s="42"/>
      <c r="G69" s="56" t="str">
        <f aca="false">IF($D69="Capital Call",IF(SUMPRODUCT(($B$6:$B69=$B69)*($D$6:$D69="Capital Call"))=1,"Initial","Ongoing"),"")</f>
        <v/>
      </c>
    </row>
    <row r="70" customFormat="false" ht="15" hidden="false" customHeight="true" outlineLevel="0" collapsed="false">
      <c r="A70" s="53" t="n">
        <v>47171</v>
      </c>
      <c r="B70" s="54" t="s">
        <v>135</v>
      </c>
      <c r="C70" s="54" t="s">
        <v>97</v>
      </c>
      <c r="D70" s="54" t="s">
        <v>179</v>
      </c>
      <c r="E70" s="55" t="n">
        <v>-12500</v>
      </c>
      <c r="F70" s="42"/>
      <c r="G70" s="56" t="str">
        <f aca="false">IF($D70="Capital Call",IF(SUMPRODUCT(($B$6:$B70=$B70)*($D$6:$D70="Capital Call"))=1,"Initial","Ongoing"),"")</f>
        <v>Ongoing</v>
      </c>
    </row>
    <row r="71" customFormat="false" ht="15" hidden="false" customHeight="true" outlineLevel="0" collapsed="false">
      <c r="A71" s="53" t="n">
        <v>47178</v>
      </c>
      <c r="B71" s="54" t="s">
        <v>164</v>
      </c>
      <c r="C71" s="54" t="s">
        <v>97</v>
      </c>
      <c r="D71" s="54" t="s">
        <v>180</v>
      </c>
      <c r="E71" s="55" t="n">
        <v>3000</v>
      </c>
      <c r="F71" s="42"/>
      <c r="G71" s="56" t="str">
        <f aca="false">IF($D71="Capital Call",IF(SUMPRODUCT(($B$6:$B71=$B71)*($D$6:$D71="Capital Call"))=1,"Initial","Ongoing"),"")</f>
        <v/>
      </c>
    </row>
    <row r="72" customFormat="false" ht="15" hidden="false" customHeight="true" outlineLevel="0" collapsed="false">
      <c r="A72" s="53" t="n">
        <v>47178</v>
      </c>
      <c r="B72" s="54" t="s">
        <v>89</v>
      </c>
      <c r="C72" s="54" t="s">
        <v>97</v>
      </c>
      <c r="D72" s="54" t="s">
        <v>180</v>
      </c>
      <c r="E72" s="55" t="n">
        <v>750</v>
      </c>
      <c r="F72" s="42"/>
      <c r="G72" s="56" t="str">
        <f aca="false">IF($D72="Capital Call",IF(SUMPRODUCT(($B$6:$B72=$B72)*($D$6:$D72="Capital Call"))=1,"Initial","Ongoing"),"")</f>
        <v/>
      </c>
    </row>
    <row r="73" customFormat="false" ht="15" hidden="false" customHeight="true" outlineLevel="0" collapsed="false">
      <c r="A73" s="53" t="n">
        <v>47178</v>
      </c>
      <c r="B73" s="54" t="s">
        <v>147</v>
      </c>
      <c r="C73" s="54" t="s">
        <v>97</v>
      </c>
      <c r="D73" s="54" t="s">
        <v>180</v>
      </c>
      <c r="E73" s="55" t="n">
        <v>750</v>
      </c>
      <c r="F73" s="42"/>
      <c r="G73" s="56" t="str">
        <f aca="false">IF($D73="Capital Call",IF(SUMPRODUCT(($B$6:$B73=$B73)*($D$6:$D73="Capital Call"))=1,"Initial","Ongoing"),"")</f>
        <v/>
      </c>
    </row>
    <row r="74" customFormat="false" ht="15" hidden="false" customHeight="true" outlineLevel="0" collapsed="false">
      <c r="A74" s="53" t="n">
        <v>47260</v>
      </c>
      <c r="B74" s="54" t="s">
        <v>135</v>
      </c>
      <c r="C74" s="54" t="s">
        <v>97</v>
      </c>
      <c r="D74" s="54" t="s">
        <v>179</v>
      </c>
      <c r="E74" s="55" t="n">
        <v>-12500</v>
      </c>
      <c r="F74" s="42"/>
      <c r="G74" s="56" t="str">
        <f aca="false">IF($D74="Capital Call",IF(SUMPRODUCT(($B$6:$B74=$B74)*($D$6:$D74="Capital Call"))=1,"Initial","Ongoing"),"")</f>
        <v>Ongoing</v>
      </c>
    </row>
    <row r="75" customFormat="false" ht="15" hidden="false" customHeight="true" outlineLevel="0" collapsed="false">
      <c r="A75" s="53" t="n">
        <v>47270</v>
      </c>
      <c r="B75" s="54" t="s">
        <v>164</v>
      </c>
      <c r="C75" s="54" t="s">
        <v>97</v>
      </c>
      <c r="D75" s="54" t="s">
        <v>180</v>
      </c>
      <c r="E75" s="55" t="n">
        <v>3000</v>
      </c>
      <c r="F75" s="42"/>
      <c r="G75" s="56" t="str">
        <f aca="false">IF($D75="Capital Call",IF(SUMPRODUCT(($B$6:$B75=$B75)*($D$6:$D75="Capital Call"))=1,"Initial","Ongoing"),"")</f>
        <v/>
      </c>
    </row>
    <row r="76" customFormat="false" ht="15" hidden="false" customHeight="true" outlineLevel="0" collapsed="false">
      <c r="A76" s="53" t="n">
        <v>47270</v>
      </c>
      <c r="B76" s="54" t="s">
        <v>89</v>
      </c>
      <c r="C76" s="54" t="s">
        <v>97</v>
      </c>
      <c r="D76" s="54" t="s">
        <v>180</v>
      </c>
      <c r="E76" s="55" t="n">
        <v>750</v>
      </c>
      <c r="F76" s="42"/>
      <c r="G76" s="56" t="str">
        <f aca="false">IF($D76="Capital Call",IF(SUMPRODUCT(($B$6:$B76=$B76)*($D$6:$D76="Capital Call"))=1,"Initial","Ongoing"),"")</f>
        <v/>
      </c>
    </row>
    <row r="77" customFormat="false" ht="15" hidden="false" customHeight="true" outlineLevel="0" collapsed="false">
      <c r="A77" s="53" t="n">
        <v>47270</v>
      </c>
      <c r="B77" s="54" t="s">
        <v>147</v>
      </c>
      <c r="C77" s="54" t="s">
        <v>97</v>
      </c>
      <c r="D77" s="54" t="s">
        <v>180</v>
      </c>
      <c r="E77" s="55" t="n">
        <v>750</v>
      </c>
      <c r="F77" s="42"/>
      <c r="G77" s="56" t="str">
        <f aca="false">IF($D77="Capital Call",IF(SUMPRODUCT(($B$6:$B77=$B77)*($D$6:$D77="Capital Call"))=1,"Initial","Ongoing"),"")</f>
        <v/>
      </c>
    </row>
    <row r="78" customFormat="false" ht="15" hidden="false" customHeight="true" outlineLevel="0" collapsed="false">
      <c r="A78" s="53" t="n">
        <v>47352</v>
      </c>
      <c r="B78" s="54" t="s">
        <v>135</v>
      </c>
      <c r="C78" s="54" t="s">
        <v>97</v>
      </c>
      <c r="D78" s="54" t="s">
        <v>179</v>
      </c>
      <c r="E78" s="55" t="n">
        <v>-12500</v>
      </c>
      <c r="F78" s="42"/>
      <c r="G78" s="56" t="str">
        <f aca="false">IF($D78="Capital Call",IF(SUMPRODUCT(($B$6:$B78=$B78)*($D$6:$D78="Capital Call"))=1,"Initial","Ongoing"),"")</f>
        <v>Ongoing</v>
      </c>
    </row>
    <row r="79" customFormat="false" ht="15" hidden="false" customHeight="true" outlineLevel="0" collapsed="false">
      <c r="A79" s="53" t="n">
        <v>47362</v>
      </c>
      <c r="B79" s="54" t="s">
        <v>164</v>
      </c>
      <c r="C79" s="54" t="s">
        <v>97</v>
      </c>
      <c r="D79" s="54" t="s">
        <v>180</v>
      </c>
      <c r="E79" s="55" t="n">
        <v>3000</v>
      </c>
      <c r="F79" s="42"/>
      <c r="G79" s="56" t="str">
        <f aca="false">IF($D79="Capital Call",IF(SUMPRODUCT(($B$6:$B79=$B79)*($D$6:$D79="Capital Call"))=1,"Initial","Ongoing"),"")</f>
        <v/>
      </c>
    </row>
    <row r="80" customFormat="false" ht="15" hidden="false" customHeight="true" outlineLevel="0" collapsed="false">
      <c r="A80" s="53" t="n">
        <v>47362</v>
      </c>
      <c r="B80" s="54" t="s">
        <v>89</v>
      </c>
      <c r="C80" s="54" t="s">
        <v>97</v>
      </c>
      <c r="D80" s="54" t="s">
        <v>180</v>
      </c>
      <c r="E80" s="55" t="n">
        <v>750</v>
      </c>
      <c r="F80" s="42"/>
      <c r="G80" s="56" t="str">
        <f aca="false">IF($D80="Capital Call",IF(SUMPRODUCT(($B$6:$B80=$B80)*($D$6:$D80="Capital Call"))=1,"Initial","Ongoing"),"")</f>
        <v/>
      </c>
    </row>
    <row r="81" customFormat="false" ht="15" hidden="false" customHeight="true" outlineLevel="0" collapsed="false">
      <c r="A81" s="53" t="n">
        <v>47362</v>
      </c>
      <c r="B81" s="54" t="s">
        <v>147</v>
      </c>
      <c r="C81" s="54" t="s">
        <v>97</v>
      </c>
      <c r="D81" s="54" t="s">
        <v>180</v>
      </c>
      <c r="E81" s="55" t="n">
        <v>750</v>
      </c>
      <c r="F81" s="42"/>
      <c r="G81" s="56" t="str">
        <f aca="false">IF($D81="Capital Call",IF(SUMPRODUCT(($B$6:$B81=$B81)*($D$6:$D81="Capital Call"))=1,"Initial","Ongoing"),"")</f>
        <v/>
      </c>
    </row>
    <row r="82" customFormat="false" ht="15" hidden="false" customHeight="true" outlineLevel="0" collapsed="false">
      <c r="A82" s="53" t="n">
        <v>47363</v>
      </c>
      <c r="B82" s="54" t="s">
        <v>104</v>
      </c>
      <c r="C82" s="54" t="s">
        <v>97</v>
      </c>
      <c r="D82" s="54" t="s">
        <v>180</v>
      </c>
      <c r="E82" s="55" t="n">
        <v>7500</v>
      </c>
      <c r="F82" s="42"/>
      <c r="G82" s="56" t="str">
        <f aca="false">IF($D82="Capital Call",IF(SUMPRODUCT(($B$6:$B82=$B82)*($D$6:$D82="Capital Call"))=1,"Initial","Ongoing"),"")</f>
        <v/>
      </c>
    </row>
    <row r="83" customFormat="false" ht="15" hidden="false" customHeight="true" outlineLevel="0" collapsed="false">
      <c r="A83" s="53" t="n">
        <v>47444</v>
      </c>
      <c r="B83" s="54" t="s">
        <v>135</v>
      </c>
      <c r="C83" s="54" t="s">
        <v>97</v>
      </c>
      <c r="D83" s="54" t="s">
        <v>179</v>
      </c>
      <c r="E83" s="55" t="n">
        <v>-12500</v>
      </c>
      <c r="F83" s="42"/>
      <c r="G83" s="56" t="str">
        <f aca="false">IF($D83="Capital Call",IF(SUMPRODUCT(($B$6:$B83=$B83)*($D$6:$D83="Capital Call"))=1,"Initial","Ongoing"),"")</f>
        <v>Ongoing</v>
      </c>
    </row>
    <row r="84" customFormat="false" ht="15" hidden="false" customHeight="true" outlineLevel="0" collapsed="false">
      <c r="A84" s="53" t="n">
        <v>47453</v>
      </c>
      <c r="B84" s="54" t="s">
        <v>164</v>
      </c>
      <c r="C84" s="54" t="s">
        <v>97</v>
      </c>
      <c r="D84" s="54" t="s">
        <v>180</v>
      </c>
      <c r="E84" s="55" t="n">
        <v>3000</v>
      </c>
      <c r="F84" s="42"/>
      <c r="G84" s="56" t="str">
        <f aca="false">IF($D84="Capital Call",IF(SUMPRODUCT(($B$6:$B84=$B84)*($D$6:$D84="Capital Call"))=1,"Initial","Ongoing"),"")</f>
        <v/>
      </c>
    </row>
    <row r="85" customFormat="false" ht="15" hidden="false" customHeight="true" outlineLevel="0" collapsed="false">
      <c r="A85" s="53" t="n">
        <v>47453</v>
      </c>
      <c r="B85" s="54" t="s">
        <v>89</v>
      </c>
      <c r="C85" s="54" t="s">
        <v>97</v>
      </c>
      <c r="D85" s="54" t="s">
        <v>180</v>
      </c>
      <c r="E85" s="55" t="n">
        <v>750</v>
      </c>
      <c r="F85" s="42"/>
      <c r="G85" s="56" t="str">
        <f aca="false">IF($D85="Capital Call",IF(SUMPRODUCT(($B$6:$B85=$B85)*($D$6:$D85="Capital Call"))=1,"Initial","Ongoing"),"")</f>
        <v/>
      </c>
    </row>
    <row r="86" customFormat="false" ht="15" hidden="false" customHeight="true" outlineLevel="0" collapsed="false">
      <c r="A86" s="53" t="n">
        <v>47453</v>
      </c>
      <c r="B86" s="54" t="s">
        <v>147</v>
      </c>
      <c r="C86" s="54" t="s">
        <v>97</v>
      </c>
      <c r="D86" s="54" t="s">
        <v>180</v>
      </c>
      <c r="E86" s="55" t="n">
        <v>750</v>
      </c>
      <c r="F86" s="42"/>
      <c r="G86" s="56" t="str">
        <f aca="false">IF($D86="Capital Call",IF(SUMPRODUCT(($B$6:$B86=$B86)*($D$6:$D86="Capital Call"))=1,"Initial","Ongoing"),"")</f>
        <v/>
      </c>
    </row>
    <row r="87" customFormat="false" ht="15" hidden="false" customHeight="true" outlineLevel="0" collapsed="false">
      <c r="A87" s="53" t="n">
        <v>47532</v>
      </c>
      <c r="B87" s="54" t="s">
        <v>150</v>
      </c>
      <c r="C87" s="54" t="s">
        <v>97</v>
      </c>
      <c r="D87" s="54" t="s">
        <v>180</v>
      </c>
      <c r="E87" s="55" t="n">
        <v>7500</v>
      </c>
      <c r="F87" s="42"/>
      <c r="G87" s="56" t="str">
        <f aca="false">IF($D87="Capital Call",IF(SUMPRODUCT(($B$6:$B87=$B87)*($D$6:$D87="Capital Call"))=1,"Initial","Ongoing"),"")</f>
        <v/>
      </c>
    </row>
    <row r="88" customFormat="false" ht="15" hidden="false" customHeight="true" outlineLevel="0" collapsed="false">
      <c r="A88" s="53" t="n">
        <v>47536</v>
      </c>
      <c r="B88" s="54" t="s">
        <v>135</v>
      </c>
      <c r="C88" s="54" t="s">
        <v>97</v>
      </c>
      <c r="D88" s="54" t="s">
        <v>179</v>
      </c>
      <c r="E88" s="55" t="n">
        <v>-12500</v>
      </c>
      <c r="F88" s="42"/>
      <c r="G88" s="56" t="str">
        <f aca="false">IF($D88="Capital Call",IF(SUMPRODUCT(($B$6:$B88=$B88)*($D$6:$D88="Capital Call"))=1,"Initial","Ongoing"),"")</f>
        <v>Ongoing</v>
      </c>
    </row>
    <row r="89" customFormat="false" ht="15" hidden="false" customHeight="true" outlineLevel="0" collapsed="false">
      <c r="A89" s="53" t="n">
        <v>47543</v>
      </c>
      <c r="B89" s="54" t="s">
        <v>164</v>
      </c>
      <c r="C89" s="54" t="s">
        <v>97</v>
      </c>
      <c r="D89" s="54" t="s">
        <v>180</v>
      </c>
      <c r="E89" s="55" t="n">
        <v>3000</v>
      </c>
      <c r="F89" s="42"/>
      <c r="G89" s="56" t="str">
        <f aca="false">IF($D89="Capital Call",IF(SUMPRODUCT(($B$6:$B89=$B89)*($D$6:$D89="Capital Call"))=1,"Initial","Ongoing"),"")</f>
        <v/>
      </c>
    </row>
    <row r="90" customFormat="false" ht="15" hidden="false" customHeight="true" outlineLevel="0" collapsed="false">
      <c r="A90" s="53" t="n">
        <v>47543</v>
      </c>
      <c r="B90" s="54" t="s">
        <v>89</v>
      </c>
      <c r="C90" s="54" t="s">
        <v>97</v>
      </c>
      <c r="D90" s="54" t="s">
        <v>180</v>
      </c>
      <c r="E90" s="55" t="n">
        <v>750</v>
      </c>
      <c r="F90" s="42"/>
      <c r="G90" s="56" t="str">
        <f aca="false">IF($D90="Capital Call",IF(SUMPRODUCT(($B$6:$B90=$B90)*($D$6:$D90="Capital Call"))=1,"Initial","Ongoing"),"")</f>
        <v/>
      </c>
    </row>
    <row r="91" customFormat="false" ht="15" hidden="false" customHeight="true" outlineLevel="0" collapsed="false">
      <c r="A91" s="53" t="n">
        <v>47543</v>
      </c>
      <c r="B91" s="54" t="s">
        <v>147</v>
      </c>
      <c r="C91" s="54" t="s">
        <v>97</v>
      </c>
      <c r="D91" s="54" t="s">
        <v>180</v>
      </c>
      <c r="E91" s="55" t="n">
        <v>750</v>
      </c>
      <c r="F91" s="42"/>
      <c r="G91" s="56" t="str">
        <f aca="false">IF($D91="Capital Call",IF(SUMPRODUCT(($B$6:$B91=$B91)*($D$6:$D91="Capital Call"))=1,"Initial","Ongoing"),"")</f>
        <v/>
      </c>
    </row>
    <row r="92" customFormat="false" ht="15" hidden="false" customHeight="true" outlineLevel="0" collapsed="false">
      <c r="A92" s="53" t="n">
        <v>47635</v>
      </c>
      <c r="B92" s="54" t="s">
        <v>164</v>
      </c>
      <c r="C92" s="54" t="s">
        <v>97</v>
      </c>
      <c r="D92" s="54" t="s">
        <v>180</v>
      </c>
      <c r="E92" s="55" t="n">
        <v>3000</v>
      </c>
      <c r="F92" s="42"/>
      <c r="G92" s="56" t="str">
        <f aca="false">IF($D92="Capital Call",IF(SUMPRODUCT(($B$6:$B92=$B92)*($D$6:$D92="Capital Call"))=1,"Initial","Ongoing"),"")</f>
        <v/>
      </c>
    </row>
    <row r="93" customFormat="false" ht="15" hidden="false" customHeight="true" outlineLevel="0" collapsed="false">
      <c r="A93" s="53" t="n">
        <v>47635</v>
      </c>
      <c r="B93" s="54" t="s">
        <v>89</v>
      </c>
      <c r="C93" s="54" t="s">
        <v>97</v>
      </c>
      <c r="D93" s="54" t="s">
        <v>180</v>
      </c>
      <c r="E93" s="55" t="n">
        <v>750</v>
      </c>
      <c r="F93" s="42"/>
      <c r="G93" s="56" t="str">
        <f aca="false">IF($D93="Capital Call",IF(SUMPRODUCT(($B$6:$B93=$B93)*($D$6:$D93="Capital Call"))=1,"Initial","Ongoing"),"")</f>
        <v/>
      </c>
    </row>
    <row r="94" customFormat="false" ht="15" hidden="false" customHeight="true" outlineLevel="0" collapsed="false">
      <c r="A94" s="53" t="n">
        <v>47635</v>
      </c>
      <c r="B94" s="54" t="s">
        <v>147</v>
      </c>
      <c r="C94" s="54" t="s">
        <v>97</v>
      </c>
      <c r="D94" s="54" t="s">
        <v>180</v>
      </c>
      <c r="E94" s="55" t="n">
        <v>750</v>
      </c>
      <c r="F94" s="42"/>
      <c r="G94" s="56" t="str">
        <f aca="false">IF($D94="Capital Call",IF(SUMPRODUCT(($B$6:$B94=$B94)*($D$6:$D94="Capital Call"))=1,"Initial","Ongoing"),"")</f>
        <v/>
      </c>
    </row>
    <row r="95" customFormat="false" ht="15" hidden="false" customHeight="true" outlineLevel="0" collapsed="false">
      <c r="A95" s="53" t="n">
        <v>47727</v>
      </c>
      <c r="B95" s="54" t="s">
        <v>164</v>
      </c>
      <c r="C95" s="54" t="s">
        <v>97</v>
      </c>
      <c r="D95" s="54" t="s">
        <v>180</v>
      </c>
      <c r="E95" s="55" t="n">
        <v>3000</v>
      </c>
      <c r="F95" s="42"/>
      <c r="G95" s="56" t="str">
        <f aca="false">IF($D95="Capital Call",IF(SUMPRODUCT(($B$6:$B95=$B95)*($D$6:$D95="Capital Call"))=1,"Initial","Ongoing"),"")</f>
        <v/>
      </c>
    </row>
    <row r="96" customFormat="false" ht="15" hidden="false" customHeight="true" outlineLevel="0" collapsed="false">
      <c r="A96" s="53" t="n">
        <v>47727</v>
      </c>
      <c r="B96" s="54" t="s">
        <v>89</v>
      </c>
      <c r="C96" s="54" t="s">
        <v>97</v>
      </c>
      <c r="D96" s="54" t="s">
        <v>180</v>
      </c>
      <c r="E96" s="55" t="n">
        <v>750</v>
      </c>
      <c r="F96" s="42"/>
      <c r="G96" s="56" t="str">
        <f aca="false">IF($D96="Capital Call",IF(SUMPRODUCT(($B$6:$B96=$B96)*($D$6:$D96="Capital Call"))=1,"Initial","Ongoing"),"")</f>
        <v/>
      </c>
    </row>
    <row r="97" customFormat="false" ht="15" hidden="false" customHeight="true" outlineLevel="0" collapsed="false">
      <c r="A97" s="53" t="n">
        <v>47727</v>
      </c>
      <c r="B97" s="54" t="s">
        <v>147</v>
      </c>
      <c r="C97" s="54" t="s">
        <v>97</v>
      </c>
      <c r="D97" s="54" t="s">
        <v>180</v>
      </c>
      <c r="E97" s="55" t="n">
        <v>750</v>
      </c>
      <c r="F97" s="42"/>
      <c r="G97" s="56" t="str">
        <f aca="false">IF($D97="Capital Call",IF(SUMPRODUCT(($B$6:$B97=$B97)*($D$6:$D97="Capital Call"))=1,"Initial","Ongoing"),"")</f>
        <v/>
      </c>
    </row>
    <row r="98" customFormat="false" ht="15" hidden="false" customHeight="true" outlineLevel="0" collapsed="false">
      <c r="A98" s="53" t="n">
        <v>47728</v>
      </c>
      <c r="B98" s="54" t="s">
        <v>104</v>
      </c>
      <c r="C98" s="54" t="s">
        <v>97</v>
      </c>
      <c r="D98" s="54" t="s">
        <v>180</v>
      </c>
      <c r="E98" s="55" t="n">
        <v>7500</v>
      </c>
      <c r="F98" s="42"/>
      <c r="G98" s="56" t="str">
        <f aca="false">IF($D98="Capital Call",IF(SUMPRODUCT(($B$6:$B98=$B98)*($D$6:$D98="Capital Call"))=1,"Initial","Ongoing"),"")</f>
        <v/>
      </c>
    </row>
    <row r="99" customFormat="false" ht="15" hidden="false" customHeight="true" outlineLevel="0" collapsed="false">
      <c r="A99" s="53" t="n">
        <v>47818</v>
      </c>
      <c r="B99" s="54" t="s">
        <v>164</v>
      </c>
      <c r="C99" s="54" t="s">
        <v>97</v>
      </c>
      <c r="D99" s="54" t="s">
        <v>180</v>
      </c>
      <c r="E99" s="55" t="n">
        <v>3000</v>
      </c>
      <c r="F99" s="42"/>
      <c r="G99" s="56" t="str">
        <f aca="false">IF($D99="Capital Call",IF(SUMPRODUCT(($B$6:$B99=$B99)*($D$6:$D99="Capital Call"))=1,"Initial","Ongoing"),"")</f>
        <v/>
      </c>
    </row>
    <row r="100" customFormat="false" ht="15" hidden="false" customHeight="true" outlineLevel="0" collapsed="false">
      <c r="A100" s="53" t="n">
        <v>47818</v>
      </c>
      <c r="B100" s="54" t="s">
        <v>89</v>
      </c>
      <c r="C100" s="54" t="s">
        <v>97</v>
      </c>
      <c r="D100" s="54" t="s">
        <v>180</v>
      </c>
      <c r="E100" s="55" t="n">
        <v>750</v>
      </c>
      <c r="F100" s="42"/>
      <c r="G100" s="56" t="str">
        <f aca="false">IF($D100="Capital Call",IF(SUMPRODUCT(($B$6:$B100=$B100)*($D$6:$D100="Capital Call"))=1,"Initial","Ongoing"),"")</f>
        <v/>
      </c>
    </row>
    <row r="101" customFormat="false" ht="15" hidden="false" customHeight="true" outlineLevel="0" collapsed="false">
      <c r="A101" s="53" t="n">
        <v>47818</v>
      </c>
      <c r="B101" s="54" t="s">
        <v>147</v>
      </c>
      <c r="C101" s="54" t="s">
        <v>97</v>
      </c>
      <c r="D101" s="54" t="s">
        <v>180</v>
      </c>
      <c r="E101" s="55" t="n">
        <v>750</v>
      </c>
      <c r="F101" s="42"/>
      <c r="G101" s="56" t="str">
        <f aca="false">IF($D101="Capital Call",IF(SUMPRODUCT(($B$6:$B101=$B101)*($D$6:$D101="Capital Call"))=1,"Initial","Ongoing"),"")</f>
        <v/>
      </c>
    </row>
    <row r="102" customFormat="false" ht="15" hidden="false" customHeight="true" outlineLevel="0" collapsed="false">
      <c r="A102" s="53" t="n">
        <v>47897</v>
      </c>
      <c r="B102" s="54" t="s">
        <v>150</v>
      </c>
      <c r="C102" s="54" t="s">
        <v>97</v>
      </c>
      <c r="D102" s="54" t="s">
        <v>180</v>
      </c>
      <c r="E102" s="55" t="n">
        <v>7500</v>
      </c>
      <c r="F102" s="42"/>
      <c r="G102" s="56" t="str">
        <f aca="false">IF($D102="Capital Call",IF(SUMPRODUCT(($B$6:$B102=$B102)*($D$6:$D102="Capital Call"))=1,"Initial","Ongoing"),"")</f>
        <v/>
      </c>
    </row>
    <row r="103" customFormat="false" ht="15" hidden="false" customHeight="true" outlineLevel="0" collapsed="false">
      <c r="A103" s="53" t="n">
        <v>47908</v>
      </c>
      <c r="B103" s="54" t="s">
        <v>164</v>
      </c>
      <c r="C103" s="54" t="s">
        <v>97</v>
      </c>
      <c r="D103" s="54" t="s">
        <v>180</v>
      </c>
      <c r="E103" s="55" t="n">
        <v>3000</v>
      </c>
      <c r="F103" s="42"/>
      <c r="G103" s="56" t="str">
        <f aca="false">IF($D103="Capital Call",IF(SUMPRODUCT(($B$6:$B103=$B103)*($D$6:$D103="Capital Call"))=1,"Initial","Ongoing"),"")</f>
        <v/>
      </c>
    </row>
    <row r="104" customFormat="false" ht="15" hidden="false" customHeight="true" outlineLevel="0" collapsed="false">
      <c r="A104" s="53" t="n">
        <v>47908</v>
      </c>
      <c r="B104" s="54" t="s">
        <v>89</v>
      </c>
      <c r="C104" s="54" t="s">
        <v>97</v>
      </c>
      <c r="D104" s="54" t="s">
        <v>180</v>
      </c>
      <c r="E104" s="55" t="n">
        <v>750</v>
      </c>
      <c r="F104" s="42"/>
      <c r="G104" s="56" t="str">
        <f aca="false">IF($D104="Capital Call",IF(SUMPRODUCT(($B$6:$B104=$B104)*($D$6:$D104="Capital Call"))=1,"Initial","Ongoing"),"")</f>
        <v/>
      </c>
    </row>
    <row r="105" customFormat="false" ht="14.25" hidden="false" customHeight="true" outlineLevel="0" collapsed="false">
      <c r="A105" s="53" t="n">
        <v>47908</v>
      </c>
      <c r="B105" s="54" t="s">
        <v>89</v>
      </c>
      <c r="C105" s="54" t="s">
        <v>97</v>
      </c>
      <c r="D105" s="54" t="s">
        <v>181</v>
      </c>
      <c r="E105" s="55" t="n">
        <v>25000</v>
      </c>
      <c r="F105" s="42"/>
      <c r="G105" s="56" t="str">
        <f aca="false">IF($D105="Capital Call",IF(SUMPRODUCT(($B$6:$B105=$B105)*($D$6:$D105="Capital Call"))=1,"Initial","Ongoing"),"")</f>
        <v/>
      </c>
    </row>
    <row r="106" customFormat="false" ht="15" hidden="false" customHeight="true" outlineLevel="0" collapsed="false">
      <c r="A106" s="53" t="n">
        <v>47908</v>
      </c>
      <c r="B106" s="54" t="s">
        <v>89</v>
      </c>
      <c r="C106" s="54" t="s">
        <v>97</v>
      </c>
      <c r="D106" s="54" t="s">
        <v>182</v>
      </c>
      <c r="E106" s="55" t="n">
        <v>50000</v>
      </c>
      <c r="F106" s="42"/>
      <c r="G106" s="56" t="str">
        <f aca="false">IF($D106="Capital Call",IF(SUMPRODUCT(($B$6:$B106=$B106)*($D$6:$D106="Capital Call"))=1,"Initial","Ongoing"),"")</f>
        <v/>
      </c>
    </row>
    <row r="107" customFormat="false" ht="15" hidden="false" customHeight="true" outlineLevel="0" collapsed="false">
      <c r="A107" s="53" t="n">
        <v>47908</v>
      </c>
      <c r="B107" s="54" t="s">
        <v>147</v>
      </c>
      <c r="C107" s="54" t="s">
        <v>97</v>
      </c>
      <c r="D107" s="54" t="s">
        <v>180</v>
      </c>
      <c r="E107" s="55" t="n">
        <v>750</v>
      </c>
      <c r="F107" s="42"/>
      <c r="G107" s="56" t="str">
        <f aca="false">IF($D107="Capital Call",IF(SUMPRODUCT(($B$6:$B107=$B107)*($D$6:$D107="Capital Call"))=1,"Initial","Ongoing"),"")</f>
        <v/>
      </c>
    </row>
    <row r="108" customFormat="false" ht="15" hidden="false" customHeight="true" outlineLevel="0" collapsed="false">
      <c r="A108" s="53" t="n">
        <v>48000</v>
      </c>
      <c r="B108" s="54" t="s">
        <v>164</v>
      </c>
      <c r="C108" s="54" t="s">
        <v>97</v>
      </c>
      <c r="D108" s="54" t="s">
        <v>180</v>
      </c>
      <c r="E108" s="55" t="n">
        <v>3000</v>
      </c>
      <c r="F108" s="42"/>
      <c r="G108" s="56" t="str">
        <f aca="false">IF($D108="Capital Call",IF(SUMPRODUCT(($B$6:$B108=$B108)*($D$6:$D108="Capital Call"))=1,"Initial","Ongoing"),"")</f>
        <v/>
      </c>
    </row>
    <row r="109" customFormat="false" ht="15" hidden="false" customHeight="true" outlineLevel="0" collapsed="false">
      <c r="A109" s="53" t="n">
        <v>48000</v>
      </c>
      <c r="B109" s="54" t="s">
        <v>147</v>
      </c>
      <c r="C109" s="54" t="s">
        <v>97</v>
      </c>
      <c r="D109" s="54" t="s">
        <v>180</v>
      </c>
      <c r="E109" s="55" t="n">
        <v>750</v>
      </c>
      <c r="F109" s="42"/>
      <c r="G109" s="56" t="str">
        <f aca="false">IF($D109="Capital Call",IF(SUMPRODUCT(($B$6:$B109=$B109)*($D$6:$D109="Capital Call"))=1,"Initial","Ongoing"),"")</f>
        <v/>
      </c>
    </row>
    <row r="110" customFormat="false" ht="15" hidden="false" customHeight="true" outlineLevel="0" collapsed="false">
      <c r="A110" s="53" t="n">
        <v>48092</v>
      </c>
      <c r="B110" s="54" t="s">
        <v>147</v>
      </c>
      <c r="C110" s="54" t="s">
        <v>97</v>
      </c>
      <c r="D110" s="54" t="s">
        <v>180</v>
      </c>
      <c r="E110" s="55" t="n">
        <v>750</v>
      </c>
      <c r="F110" s="42"/>
      <c r="G110" s="56" t="str">
        <f aca="false">IF($D110="Capital Call",IF(SUMPRODUCT(($B$6:$B110=$B110)*($D$6:$D110="Capital Call"))=1,"Initial","Ongoing"),"")</f>
        <v/>
      </c>
    </row>
    <row r="111" customFormat="false" ht="15" hidden="false" customHeight="true" outlineLevel="0" collapsed="false">
      <c r="A111" s="53" t="n">
        <v>48093</v>
      </c>
      <c r="B111" s="54" t="s">
        <v>104</v>
      </c>
      <c r="C111" s="54" t="s">
        <v>97</v>
      </c>
      <c r="D111" s="54" t="s">
        <v>180</v>
      </c>
      <c r="E111" s="55" t="n">
        <v>7500</v>
      </c>
      <c r="F111" s="42"/>
      <c r="G111" s="56" t="str">
        <f aca="false">IF($D111="Capital Call",IF(SUMPRODUCT(($B$6:$B111=$B111)*($D$6:$D111="Capital Call"))=1,"Initial","Ongoing"),"")</f>
        <v/>
      </c>
    </row>
    <row r="112" customFormat="false" ht="15" hidden="false" customHeight="true" outlineLevel="0" collapsed="false">
      <c r="A112" s="53" t="n">
        <v>48183</v>
      </c>
      <c r="B112" s="54" t="s">
        <v>147</v>
      </c>
      <c r="C112" s="57" t="s">
        <v>97</v>
      </c>
      <c r="D112" s="57" t="s">
        <v>180</v>
      </c>
      <c r="E112" s="58" t="n">
        <v>750</v>
      </c>
      <c r="F112" s="59"/>
      <c r="G112" s="56" t="str">
        <f aca="false">IF($D112="Capital Call",IF(SUMPRODUCT(($B$6:$B112=$B112)*($D$6:$D112="Capital Call"))=1,"Initial","Ongoing"),"")</f>
        <v/>
      </c>
    </row>
    <row r="113" customFormat="false" ht="15" hidden="false" customHeight="true" outlineLevel="0" collapsed="false">
      <c r="A113" s="53" t="n">
        <v>48183</v>
      </c>
      <c r="B113" s="54" t="s">
        <v>147</v>
      </c>
      <c r="C113" s="57" t="s">
        <v>97</v>
      </c>
      <c r="D113" s="57" t="s">
        <v>181</v>
      </c>
      <c r="E113" s="58" t="n">
        <v>25000</v>
      </c>
      <c r="F113" s="59"/>
      <c r="G113" s="56" t="str">
        <f aca="false">IF($D113="Capital Call",IF(SUMPRODUCT(($B$6:$B113=$B113)*($D$6:$D113="Capital Call"))=1,"Initial","Ongoing"),"")</f>
        <v/>
      </c>
    </row>
    <row r="114" customFormat="false" ht="15" hidden="false" customHeight="true" outlineLevel="0" collapsed="false">
      <c r="A114" s="53" t="n">
        <v>48183</v>
      </c>
      <c r="B114" s="54" t="s">
        <v>147</v>
      </c>
      <c r="C114" s="57" t="s">
        <v>97</v>
      </c>
      <c r="D114" s="57" t="s">
        <v>182</v>
      </c>
      <c r="E114" s="58" t="n">
        <v>50000</v>
      </c>
      <c r="F114" s="59"/>
      <c r="G114" s="56" t="str">
        <f aca="false">IF($D114="Capital Call",IF(SUMPRODUCT(($B$6:$B114=$B114)*($D$6:$D114="Capital Call"))=1,"Initial","Ongoing"),"")</f>
        <v/>
      </c>
    </row>
    <row r="115" customFormat="false" ht="15" hidden="false" customHeight="true" outlineLevel="0" collapsed="false">
      <c r="A115" s="53" t="n">
        <v>48262</v>
      </c>
      <c r="B115" s="54" t="s">
        <v>150</v>
      </c>
      <c r="C115" s="54" t="s">
        <v>97</v>
      </c>
      <c r="D115" s="54" t="s">
        <v>180</v>
      </c>
      <c r="E115" s="55" t="n">
        <v>7500</v>
      </c>
      <c r="F115" s="42"/>
      <c r="G115" s="56" t="str">
        <f aca="false">IF($D115="Capital Call",IF(SUMPRODUCT(($B$6:$B115=$B115)*($D$6:$D115="Capital Call"))=1,"Initial","Ongoing"),"")</f>
        <v/>
      </c>
    </row>
    <row r="116" customFormat="false" ht="15" hidden="false" customHeight="true" outlineLevel="0" collapsed="false">
      <c r="A116" s="53" t="n">
        <v>48459</v>
      </c>
      <c r="B116" s="54" t="s">
        <v>104</v>
      </c>
      <c r="C116" s="54" t="s">
        <v>97</v>
      </c>
      <c r="D116" s="54" t="s">
        <v>180</v>
      </c>
      <c r="E116" s="55" t="n">
        <v>7500</v>
      </c>
      <c r="F116" s="42"/>
      <c r="G116" s="56" t="str">
        <f aca="false">IF($D116="Capital Call",IF(SUMPRODUCT(($B$6:$B116=$B116)*($D$6:$D116="Capital Call"))=1,"Initial","Ongoing"),"")</f>
        <v/>
      </c>
    </row>
    <row r="117" customFormat="false" ht="15" hidden="false" customHeight="true" outlineLevel="0" collapsed="false">
      <c r="A117" s="60" t="n">
        <v>48459</v>
      </c>
      <c r="B117" s="54" t="s">
        <v>104</v>
      </c>
      <c r="C117" s="54" t="s">
        <v>97</v>
      </c>
      <c r="D117" s="57" t="s">
        <v>183</v>
      </c>
      <c r="E117" s="58" t="n">
        <v>80000</v>
      </c>
      <c r="F117" s="59"/>
      <c r="G117" s="56" t="str">
        <f aca="false">IF($D117="Capital Call",IF(SUMPRODUCT(($B$6:$B117=$B117)*($D$6:$D117="Capital Call"))=1,"Initial","Ongoing"),"")</f>
        <v/>
      </c>
    </row>
    <row r="118" customFormat="false" ht="15" hidden="false" customHeight="true" outlineLevel="0" collapsed="false">
      <c r="A118" s="60" t="n">
        <v>48628</v>
      </c>
      <c r="B118" s="54" t="s">
        <v>150</v>
      </c>
      <c r="C118" s="54" t="s">
        <v>97</v>
      </c>
      <c r="D118" s="54" t="s">
        <v>180</v>
      </c>
      <c r="E118" s="55" t="n">
        <v>7500</v>
      </c>
      <c r="F118" s="59"/>
      <c r="G118" s="56" t="str">
        <f aca="false">IF($D118="Capital Call",IF(SUMPRODUCT(($B$6:$B118=$B118)*($D$6:$D118="Capital Call"))=1,"Initial","Ongoing"),"")</f>
        <v/>
      </c>
    </row>
    <row r="119" customFormat="false" ht="15" hidden="false" customHeight="true" outlineLevel="0" collapsed="false">
      <c r="A119" s="60" t="n">
        <v>48628</v>
      </c>
      <c r="B119" s="54" t="s">
        <v>150</v>
      </c>
      <c r="C119" s="54" t="s">
        <v>97</v>
      </c>
      <c r="D119" s="54" t="s">
        <v>183</v>
      </c>
      <c r="E119" s="55" t="n">
        <v>80000</v>
      </c>
      <c r="F119" s="59"/>
      <c r="G119" s="56" t="str">
        <f aca="false">IF($D119="Capital Call",IF(SUMPRODUCT(($B$6:$B119=$B119)*($D$6:$D119="Capital Call"))=1,"Initial","Ongoing"),"")</f>
        <v/>
      </c>
    </row>
    <row r="120" customFormat="false" ht="15" hidden="false" customHeight="true" outlineLevel="0" collapsed="false">
      <c r="A120" s="53"/>
      <c r="B120" s="54"/>
      <c r="C120" s="54"/>
      <c r="D120" s="54"/>
      <c r="E120" s="55"/>
      <c r="F120" s="42"/>
      <c r="G120" s="56" t="str">
        <f aca="false">IF($D120="Capital Call",IF(SUMPRODUCT(($B$6:$B120=$B120)*($D$6:$D120="Capital Call"))=1,"Initial","Ongoing"),"")</f>
        <v/>
      </c>
    </row>
    <row r="121" customFormat="false" ht="15" hidden="false" customHeight="true" outlineLevel="0" collapsed="false">
      <c r="A121" s="53"/>
      <c r="B121" s="54"/>
      <c r="C121" s="54"/>
      <c r="D121" s="54"/>
      <c r="E121" s="55"/>
      <c r="F121" s="42"/>
      <c r="G121" s="56" t="str">
        <f aca="false">IF($D121="Capital Call",IF(SUMPRODUCT(($B$6:$B121=$B121)*($D$6:$D121="Capital Call"))=1,"Initial","Ongoing"),"")</f>
        <v/>
      </c>
    </row>
    <row r="122" customFormat="false" ht="15" hidden="false" customHeight="true" outlineLevel="0" collapsed="false">
      <c r="A122" s="53"/>
      <c r="B122" s="54"/>
      <c r="C122" s="54"/>
      <c r="D122" s="54"/>
      <c r="E122" s="55"/>
      <c r="F122" s="42"/>
      <c r="G122" s="56" t="str">
        <f aca="false">IF($D122="Capital Call",IF(SUMPRODUCT(($B$6:$B122=$B122)*($D$6:$D122="Capital Call"))=1,"Initial","Ongoing"),"")</f>
        <v/>
      </c>
    </row>
    <row r="123" customFormat="false" ht="15" hidden="false" customHeight="true" outlineLevel="0" collapsed="false">
      <c r="A123" s="53"/>
      <c r="B123" s="54"/>
      <c r="C123" s="54"/>
      <c r="D123" s="54"/>
      <c r="E123" s="55"/>
      <c r="F123" s="42"/>
      <c r="G123" s="56" t="str">
        <f aca="false">IF($D123="Capital Call",IF(SUMPRODUCT(($B$6:$B123=$B123)*($D$6:$D123="Capital Call"))=1,"Initial","Ongoing"),"")</f>
        <v/>
      </c>
    </row>
    <row r="124" customFormat="false" ht="15" hidden="false" customHeight="true" outlineLevel="0" collapsed="false">
      <c r="A124" s="53"/>
      <c r="B124" s="54"/>
      <c r="C124" s="54"/>
      <c r="D124" s="54"/>
      <c r="E124" s="55"/>
      <c r="F124" s="42"/>
      <c r="G124" s="56" t="str">
        <f aca="false">IF($D124="Capital Call",IF(SUMPRODUCT(($B$6:$B124=$B124)*($D$6:$D124="Capital Call"))=1,"Initial","Ongoing"),"")</f>
        <v/>
      </c>
    </row>
    <row r="125" customFormat="false" ht="15" hidden="false" customHeight="true" outlineLevel="0" collapsed="false">
      <c r="A125" s="53"/>
      <c r="B125" s="54"/>
      <c r="C125" s="54"/>
      <c r="D125" s="54"/>
      <c r="E125" s="55"/>
      <c r="F125" s="42"/>
      <c r="G125" s="56" t="str">
        <f aca="false">IF($D125="Capital Call",IF(SUMPRODUCT(($B$6:$B125=$B125)*($D$6:$D125="Capital Call"))=1,"Initial","Ongoing"),"")</f>
        <v/>
      </c>
    </row>
    <row r="126" customFormat="false" ht="15" hidden="false" customHeight="true" outlineLevel="0" collapsed="false">
      <c r="A126" s="53"/>
      <c r="B126" s="54"/>
      <c r="C126" s="54"/>
      <c r="D126" s="54"/>
      <c r="E126" s="55"/>
      <c r="F126" s="42"/>
      <c r="G126" s="56" t="str">
        <f aca="false">IF($D126="Capital Call",IF(SUMPRODUCT(($B$6:$B126=$B126)*($D$6:$D126="Capital Call"))=1,"Initial","Ongoing"),"")</f>
        <v/>
      </c>
    </row>
    <row r="127" customFormat="false" ht="15" hidden="false" customHeight="true" outlineLevel="0" collapsed="false">
      <c r="A127" s="53"/>
      <c r="B127" s="54"/>
      <c r="C127" s="54"/>
      <c r="D127" s="54"/>
      <c r="E127" s="55"/>
      <c r="F127" s="42"/>
      <c r="G127" s="56" t="str">
        <f aca="false">IF($D127="Capital Call",IF(SUMPRODUCT(($B$6:$B127=$B127)*($D$6:$D127="Capital Call"))=1,"Initial","Ongoing"),"")</f>
        <v/>
      </c>
    </row>
    <row r="128" customFormat="false" ht="15" hidden="false" customHeight="true" outlineLevel="0" collapsed="false">
      <c r="A128" s="53"/>
      <c r="B128" s="54"/>
      <c r="C128" s="54"/>
      <c r="D128" s="54"/>
      <c r="E128" s="55"/>
      <c r="F128" s="42"/>
      <c r="G128" s="56" t="str">
        <f aca="false">IF($D128="Capital Call",IF(SUMPRODUCT(($B$6:$B128=$B128)*($D$6:$D128="Capital Call"))=1,"Initial","Ongoing"),"")</f>
        <v/>
      </c>
    </row>
    <row r="129" customFormat="false" ht="15" hidden="false" customHeight="true" outlineLevel="0" collapsed="false">
      <c r="A129" s="53"/>
      <c r="B129" s="54"/>
      <c r="C129" s="54"/>
      <c r="D129" s="54"/>
      <c r="E129" s="55"/>
      <c r="F129" s="42"/>
      <c r="G129" s="56" t="str">
        <f aca="false">IF($D129="Capital Call",IF(SUMPRODUCT(($B$6:$B129=$B129)*($D$6:$D129="Capital Call"))=1,"Initial","Ongoing"),"")</f>
        <v/>
      </c>
    </row>
    <row r="130" customFormat="false" ht="15" hidden="false" customHeight="true" outlineLevel="0" collapsed="false">
      <c r="A130" s="53"/>
      <c r="B130" s="54"/>
      <c r="C130" s="54"/>
      <c r="D130" s="54"/>
      <c r="E130" s="55"/>
      <c r="F130" s="42"/>
      <c r="G130" s="56" t="str">
        <f aca="false">IF($D130="Capital Call",IF(SUMPRODUCT(($B$6:$B130=$B130)*($D$6:$D130="Capital Call"))=1,"Initial","Ongoing"),"")</f>
        <v/>
      </c>
    </row>
    <row r="131" customFormat="false" ht="15" hidden="false" customHeight="true" outlineLevel="0" collapsed="false">
      <c r="A131" s="53"/>
      <c r="B131" s="54"/>
      <c r="C131" s="54"/>
      <c r="D131" s="54"/>
      <c r="E131" s="55"/>
      <c r="F131" s="42"/>
      <c r="G131" s="56" t="str">
        <f aca="false">IF($D131="Capital Call",IF(SUMPRODUCT(($B$6:$B131=$B131)*($D$6:$D131="Capital Call"))=1,"Initial","Ongoing"),"")</f>
        <v/>
      </c>
    </row>
    <row r="132" customFormat="false" ht="15" hidden="false" customHeight="true" outlineLevel="0" collapsed="false">
      <c r="A132" s="53"/>
      <c r="B132" s="54"/>
      <c r="C132" s="54"/>
      <c r="D132" s="54"/>
      <c r="E132" s="55"/>
      <c r="F132" s="42"/>
      <c r="G132" s="56" t="str">
        <f aca="false">IF($D132="Capital Call",IF(SUMPRODUCT(($B$6:$B132=$B132)*($D$6:$D132="Capital Call"))=1,"Initial","Ongoing"),"")</f>
        <v/>
      </c>
    </row>
    <row r="133" customFormat="false" ht="15" hidden="false" customHeight="true" outlineLevel="0" collapsed="false">
      <c r="A133" s="53"/>
      <c r="B133" s="54"/>
      <c r="C133" s="54"/>
      <c r="D133" s="54"/>
      <c r="E133" s="55"/>
      <c r="F133" s="42"/>
      <c r="G133" s="56" t="str">
        <f aca="false">IF($D133="Capital Call",IF(SUMPRODUCT(($B$6:$B133=$B133)*($D$6:$D133="Capital Call"))=1,"Initial","Ongoing"),"")</f>
        <v/>
      </c>
    </row>
    <row r="134" customFormat="false" ht="15" hidden="false" customHeight="true" outlineLevel="0" collapsed="false">
      <c r="A134" s="53"/>
      <c r="B134" s="54"/>
      <c r="C134" s="54"/>
      <c r="D134" s="54"/>
      <c r="E134" s="55"/>
      <c r="F134" s="42"/>
      <c r="G134" s="56" t="str">
        <f aca="false">IF($D134="Capital Call",IF(SUMPRODUCT(($B$6:$B134=$B134)*($D$6:$D134="Capital Call"))=1,"Initial","Ongoing"),"")</f>
        <v/>
      </c>
    </row>
    <row r="135" customFormat="false" ht="15" hidden="false" customHeight="true" outlineLevel="0" collapsed="false">
      <c r="A135" s="53"/>
      <c r="B135" s="54"/>
      <c r="C135" s="54"/>
      <c r="D135" s="54"/>
      <c r="E135" s="55"/>
      <c r="F135" s="42"/>
      <c r="G135" s="56" t="str">
        <f aca="false">IF($D135="Capital Call",IF(SUMPRODUCT(($B$6:$B135=$B135)*($D$6:$D135="Capital Call"))=1,"Initial","Ongoing"),"")</f>
        <v/>
      </c>
    </row>
    <row r="136" customFormat="false" ht="15" hidden="false" customHeight="true" outlineLevel="0" collapsed="false">
      <c r="A136" s="53"/>
      <c r="B136" s="54"/>
      <c r="C136" s="54"/>
      <c r="D136" s="54"/>
      <c r="E136" s="55"/>
      <c r="F136" s="42"/>
      <c r="G136" s="56" t="str">
        <f aca="false">IF($D136="Capital Call",IF(SUMPRODUCT(($B$6:$B136=$B136)*($D$6:$D136="Capital Call"))=1,"Initial","Ongoing"),"")</f>
        <v/>
      </c>
    </row>
    <row r="137" customFormat="false" ht="15" hidden="false" customHeight="true" outlineLevel="0" collapsed="false">
      <c r="A137" s="53"/>
      <c r="B137" s="54"/>
      <c r="C137" s="54"/>
      <c r="D137" s="54"/>
      <c r="E137" s="55"/>
      <c r="F137" s="42"/>
      <c r="G137" s="56" t="str">
        <f aca="false">IF($D137="Capital Call",IF(SUMPRODUCT(($B$6:$B137=$B137)*($D$6:$D137="Capital Call"))=1,"Initial","Ongoing"),"")</f>
        <v/>
      </c>
    </row>
    <row r="138" customFormat="false" ht="15" hidden="false" customHeight="true" outlineLevel="0" collapsed="false">
      <c r="A138" s="53"/>
      <c r="B138" s="54"/>
      <c r="C138" s="54"/>
      <c r="D138" s="54"/>
      <c r="E138" s="55"/>
      <c r="F138" s="42"/>
      <c r="G138" s="56" t="str">
        <f aca="false">IF($D138="Capital Call",IF(SUMPRODUCT(($B$6:$B138=$B138)*($D$6:$D138="Capital Call"))=1,"Initial","Ongoing"),"")</f>
        <v/>
      </c>
    </row>
    <row r="139" customFormat="false" ht="15" hidden="false" customHeight="true" outlineLevel="0" collapsed="false">
      <c r="A139" s="53"/>
      <c r="B139" s="54"/>
      <c r="C139" s="54"/>
      <c r="D139" s="54"/>
      <c r="E139" s="55"/>
      <c r="F139" s="42"/>
      <c r="G139" s="56" t="str">
        <f aca="false">IF($D139="Capital Call",IF(SUMPRODUCT(($B$6:$B139=$B139)*($D$6:$D139="Capital Call"))=1,"Initial","Ongoing"),"")</f>
        <v/>
      </c>
    </row>
    <row r="140" customFormat="false" ht="15" hidden="false" customHeight="true" outlineLevel="0" collapsed="false">
      <c r="A140" s="53"/>
      <c r="B140" s="54"/>
      <c r="C140" s="54"/>
      <c r="D140" s="54"/>
      <c r="E140" s="55"/>
      <c r="F140" s="42"/>
      <c r="G140" s="56" t="str">
        <f aca="false">IF($D140="Capital Call",IF(SUMPRODUCT(($B$6:$B140=$B140)*($D$6:$D140="Capital Call"))=1,"Initial","Ongoing"),"")</f>
        <v/>
      </c>
    </row>
    <row r="141" customFormat="false" ht="15" hidden="false" customHeight="true" outlineLevel="0" collapsed="false">
      <c r="A141" s="53"/>
      <c r="B141" s="54"/>
      <c r="C141" s="54"/>
      <c r="D141" s="54"/>
      <c r="E141" s="55"/>
      <c r="F141" s="42"/>
      <c r="G141" s="56" t="str">
        <f aca="false">IF($D141="Capital Call",IF(SUMPRODUCT(($B$6:$B141=$B141)*($D$6:$D141="Capital Call"))=1,"Initial","Ongoing"),"")</f>
        <v/>
      </c>
    </row>
    <row r="142" customFormat="false" ht="15" hidden="false" customHeight="true" outlineLevel="0" collapsed="false">
      <c r="A142" s="53"/>
      <c r="B142" s="54"/>
      <c r="C142" s="54"/>
      <c r="D142" s="54"/>
      <c r="E142" s="55"/>
      <c r="F142" s="42"/>
      <c r="G142" s="56" t="str">
        <f aca="false">IF($D142="Capital Call",IF(SUMPRODUCT(($B$6:$B142=$B142)*($D$6:$D142="Capital Call"))=1,"Initial","Ongoing"),"")</f>
        <v/>
      </c>
    </row>
    <row r="143" customFormat="false" ht="15" hidden="false" customHeight="true" outlineLevel="0" collapsed="false">
      <c r="A143" s="53"/>
      <c r="B143" s="54"/>
      <c r="C143" s="54"/>
      <c r="D143" s="54"/>
      <c r="E143" s="55"/>
      <c r="F143" s="42"/>
      <c r="G143" s="56" t="str">
        <f aca="false">IF($D143="Capital Call",IF(SUMPRODUCT(($B$6:$B143=$B143)*($D$6:$D143="Capital Call"))=1,"Initial","Ongoing"),"")</f>
        <v/>
      </c>
    </row>
    <row r="144" customFormat="false" ht="15" hidden="false" customHeight="true" outlineLevel="0" collapsed="false">
      <c r="A144" s="53"/>
      <c r="B144" s="54"/>
      <c r="C144" s="54"/>
      <c r="D144" s="54"/>
      <c r="E144" s="55"/>
      <c r="F144" s="42"/>
      <c r="G144" s="56" t="str">
        <f aca="false">IF($D144="Capital Call",IF(SUMPRODUCT(($B$6:$B144=$B144)*($D$6:$D144="Capital Call"))=1,"Initial","Ongoing"),"")</f>
        <v/>
      </c>
    </row>
    <row r="145" customFormat="false" ht="15" hidden="false" customHeight="true" outlineLevel="0" collapsed="false">
      <c r="A145" s="53"/>
      <c r="B145" s="54"/>
      <c r="C145" s="54"/>
      <c r="D145" s="54"/>
      <c r="E145" s="55"/>
      <c r="F145" s="42"/>
      <c r="G145" s="56" t="str">
        <f aca="false">IF($D145="Capital Call",IF(SUMPRODUCT(($B$6:$B145=$B145)*($D$6:$D145="Capital Call"))=1,"Initial","Ongoing"),"")</f>
        <v/>
      </c>
    </row>
    <row r="146" customFormat="false" ht="15" hidden="false" customHeight="true" outlineLevel="0" collapsed="false">
      <c r="A146" s="53"/>
      <c r="B146" s="54"/>
      <c r="C146" s="54"/>
      <c r="D146" s="54"/>
      <c r="E146" s="55"/>
      <c r="F146" s="42"/>
      <c r="G146" s="56" t="str">
        <f aca="false">IF($D146="Capital Call",IF(SUMPRODUCT(($B$6:$B146=$B146)*($D$6:$D146="Capital Call"))=1,"Initial","Ongoing"),"")</f>
        <v/>
      </c>
    </row>
    <row r="147" customFormat="false" ht="15" hidden="false" customHeight="true" outlineLevel="0" collapsed="false">
      <c r="A147" s="53"/>
      <c r="B147" s="54"/>
      <c r="C147" s="54"/>
      <c r="D147" s="54"/>
      <c r="E147" s="55"/>
      <c r="F147" s="42"/>
      <c r="G147" s="56" t="str">
        <f aca="false">IF($D147="Capital Call",IF(SUMPRODUCT(($B$6:$B147=$B147)*($D$6:$D147="Capital Call"))=1,"Initial","Ongoing"),"")</f>
        <v/>
      </c>
    </row>
    <row r="148" customFormat="false" ht="15" hidden="false" customHeight="true" outlineLevel="0" collapsed="false">
      <c r="A148" s="53"/>
      <c r="B148" s="54"/>
      <c r="C148" s="54"/>
      <c r="D148" s="54"/>
      <c r="E148" s="55"/>
      <c r="F148" s="42"/>
      <c r="G148" s="56" t="str">
        <f aca="false">IF($D148="Capital Call",IF(SUMPRODUCT(($B$6:$B148=$B148)*($D$6:$D148="Capital Call"))=1,"Initial","Ongoing"),"")</f>
        <v/>
      </c>
    </row>
    <row r="149" customFormat="false" ht="15" hidden="false" customHeight="true" outlineLevel="0" collapsed="false">
      <c r="A149" s="53"/>
      <c r="B149" s="54"/>
      <c r="C149" s="54"/>
      <c r="D149" s="54"/>
      <c r="E149" s="55"/>
      <c r="F149" s="42"/>
      <c r="G149" s="56" t="str">
        <f aca="false">IF($D149="Capital Call",IF(SUMPRODUCT(($B$6:$B149=$B149)*($D$6:$D149="Capital Call"))=1,"Initial","Ongoing"),"")</f>
        <v/>
      </c>
    </row>
    <row r="150" customFormat="false" ht="15" hidden="false" customHeight="true" outlineLevel="0" collapsed="false">
      <c r="A150" s="53"/>
      <c r="B150" s="54"/>
      <c r="C150" s="54"/>
      <c r="D150" s="54"/>
      <c r="E150" s="55"/>
      <c r="F150" s="42"/>
      <c r="G150" s="56" t="str">
        <f aca="false">IF($D150="Capital Call",IF(SUMPRODUCT(($B$6:$B150=$B150)*($D$6:$D150="Capital Call"))=1,"Initial","Ongoing"),"")</f>
        <v/>
      </c>
    </row>
    <row r="151" customFormat="false" ht="15" hidden="false" customHeight="true" outlineLevel="0" collapsed="false">
      <c r="A151" s="53"/>
      <c r="B151" s="54"/>
      <c r="C151" s="54"/>
      <c r="D151" s="54"/>
      <c r="E151" s="55"/>
      <c r="F151" s="42"/>
      <c r="G151" s="56" t="str">
        <f aca="false">IF($D151="Capital Call",IF(SUMPRODUCT(($B$6:$B151=$B151)*($D$6:$D151="Capital Call"))=1,"Initial","Ongoing"),"")</f>
        <v/>
      </c>
    </row>
    <row r="152" customFormat="false" ht="15" hidden="false" customHeight="true" outlineLevel="0" collapsed="false">
      <c r="A152" s="53"/>
      <c r="B152" s="54"/>
      <c r="C152" s="54"/>
      <c r="D152" s="54"/>
      <c r="E152" s="55"/>
      <c r="F152" s="42"/>
      <c r="G152" s="56" t="str">
        <f aca="false">IF($D152="Capital Call",IF(SUMPRODUCT(($B$6:$B152=$B152)*($D$6:$D152="Capital Call"))=1,"Initial","Ongoing"),"")</f>
        <v/>
      </c>
    </row>
    <row r="153" customFormat="false" ht="15" hidden="false" customHeight="true" outlineLevel="0" collapsed="false">
      <c r="A153" s="53"/>
      <c r="B153" s="54"/>
      <c r="C153" s="54"/>
      <c r="D153" s="54"/>
      <c r="E153" s="55"/>
      <c r="F153" s="42"/>
      <c r="G153" s="56" t="str">
        <f aca="false">IF($D153="Capital Call",IF(SUMPRODUCT(($B$6:$B153=$B153)*($D$6:$D153="Capital Call"))=1,"Initial","Ongoing"),"")</f>
        <v/>
      </c>
    </row>
    <row r="154" customFormat="false" ht="15" hidden="false" customHeight="true" outlineLevel="0" collapsed="false">
      <c r="A154" s="53"/>
      <c r="B154" s="54"/>
      <c r="C154" s="54"/>
      <c r="D154" s="54"/>
      <c r="E154" s="55"/>
      <c r="F154" s="42"/>
      <c r="G154" s="56" t="str">
        <f aca="false">IF($D154="Capital Call",IF(SUMPRODUCT(($B$6:$B154=$B154)*($D$6:$D154="Capital Call"))=1,"Initial","Ongoing"),"")</f>
        <v/>
      </c>
    </row>
    <row r="155" customFormat="false" ht="15" hidden="false" customHeight="true" outlineLevel="0" collapsed="false">
      <c r="A155" s="53"/>
      <c r="B155" s="54"/>
      <c r="C155" s="54"/>
      <c r="D155" s="54"/>
      <c r="E155" s="55"/>
      <c r="F155" s="42"/>
      <c r="G155" s="56" t="str">
        <f aca="false">IF($D155="Capital Call",IF(SUMPRODUCT(($B$6:$B155=$B155)*($D$6:$D155="Capital Call"))=1,"Initial","Ongoing"),"")</f>
        <v/>
      </c>
    </row>
    <row r="156" customFormat="false" ht="15" hidden="false" customHeight="true" outlineLevel="0" collapsed="false">
      <c r="A156" s="53"/>
      <c r="B156" s="54"/>
      <c r="C156" s="54"/>
      <c r="D156" s="54"/>
      <c r="E156" s="55"/>
      <c r="F156" s="42"/>
      <c r="G156" s="56" t="str">
        <f aca="false">IF($D156="Capital Call",IF(SUMPRODUCT(($B$6:$B156=$B156)*($D$6:$D156="Capital Call"))=1,"Initial","Ongoing"),"")</f>
        <v/>
      </c>
    </row>
    <row r="157" customFormat="false" ht="15" hidden="false" customHeight="true" outlineLevel="0" collapsed="false">
      <c r="A157" s="53"/>
      <c r="B157" s="54"/>
      <c r="C157" s="54"/>
      <c r="D157" s="54"/>
      <c r="E157" s="55"/>
      <c r="F157" s="42"/>
      <c r="G157" s="56" t="str">
        <f aca="false">IF($D157="Capital Call",IF(SUMPRODUCT(($B$6:$B157=$B157)*($D$6:$D157="Capital Call"))=1,"Initial","Ongoing"),"")</f>
        <v/>
      </c>
    </row>
    <row r="158" customFormat="false" ht="15" hidden="false" customHeight="true" outlineLevel="0" collapsed="false">
      <c r="A158" s="53"/>
      <c r="B158" s="54"/>
      <c r="C158" s="54"/>
      <c r="D158" s="54"/>
      <c r="E158" s="55"/>
      <c r="F158" s="42"/>
      <c r="G158" s="56" t="str">
        <f aca="false">IF($D158="Capital Call",IF(SUMPRODUCT(($B$6:$B158=$B158)*($D$6:$D158="Capital Call"))=1,"Initial","Ongoing"),"")</f>
        <v/>
      </c>
    </row>
    <row r="159" customFormat="false" ht="15" hidden="false" customHeight="true" outlineLevel="0" collapsed="false">
      <c r="A159" s="53"/>
      <c r="B159" s="54"/>
      <c r="C159" s="54"/>
      <c r="D159" s="54"/>
      <c r="E159" s="55"/>
      <c r="F159" s="42"/>
      <c r="G159" s="56" t="str">
        <f aca="false">IF($D159="Capital Call",IF(SUMPRODUCT(($B$6:$B159=$B159)*($D$6:$D159="Capital Call"))=1,"Initial","Ongoing"),"")</f>
        <v/>
      </c>
    </row>
    <row r="160" customFormat="false" ht="15" hidden="false" customHeight="true" outlineLevel="0" collapsed="false">
      <c r="A160" s="53"/>
      <c r="B160" s="54"/>
      <c r="C160" s="54"/>
      <c r="D160" s="54"/>
      <c r="E160" s="55"/>
      <c r="F160" s="42"/>
      <c r="G160" s="56" t="str">
        <f aca="false">IF($D160="Capital Call",IF(SUMPRODUCT(($B$6:$B160=$B160)*($D$6:$D160="Capital Call"))=1,"Initial","Ongoing"),"")</f>
        <v/>
      </c>
    </row>
    <row r="161" customFormat="false" ht="15" hidden="false" customHeight="true" outlineLevel="0" collapsed="false">
      <c r="A161" s="53"/>
      <c r="B161" s="54"/>
      <c r="C161" s="54"/>
      <c r="D161" s="54"/>
      <c r="E161" s="55"/>
      <c r="F161" s="42"/>
      <c r="G161" s="56" t="str">
        <f aca="false">IF($D161="Capital Call",IF(SUMPRODUCT(($B$6:$B161=$B161)*($D$6:$D161="Capital Call"))=1,"Initial","Ongoing"),"")</f>
        <v/>
      </c>
    </row>
    <row r="162" customFormat="false" ht="15" hidden="false" customHeight="true" outlineLevel="0" collapsed="false">
      <c r="A162" s="53"/>
      <c r="B162" s="54"/>
      <c r="C162" s="54"/>
      <c r="D162" s="54"/>
      <c r="E162" s="55"/>
      <c r="F162" s="42"/>
      <c r="G162" s="56" t="str">
        <f aca="false">IF($D162="Capital Call",IF(SUMPRODUCT(($B$6:$B162=$B162)*($D$6:$D162="Capital Call"))=1,"Initial","Ongoing"),"")</f>
        <v/>
      </c>
    </row>
    <row r="163" customFormat="false" ht="15" hidden="false" customHeight="true" outlineLevel="0" collapsed="false">
      <c r="A163" s="53"/>
      <c r="B163" s="54"/>
      <c r="C163" s="54"/>
      <c r="D163" s="54"/>
      <c r="E163" s="55"/>
      <c r="F163" s="42"/>
      <c r="G163" s="56" t="str">
        <f aca="false">IF($D163="Capital Call",IF(SUMPRODUCT(($B$6:$B163=$B163)*($D$6:$D163="Capital Call"))=1,"Initial","Ongoing"),"")</f>
        <v/>
      </c>
    </row>
    <row r="164" customFormat="false" ht="15" hidden="false" customHeight="true" outlineLevel="0" collapsed="false">
      <c r="A164" s="53"/>
      <c r="B164" s="54"/>
      <c r="C164" s="54"/>
      <c r="D164" s="54"/>
      <c r="E164" s="55"/>
      <c r="F164" s="42"/>
      <c r="G164" s="56" t="str">
        <f aca="false">IF($D164="Capital Call",IF(SUMPRODUCT(($B$6:$B164=$B164)*($D$6:$D164="Capital Call"))=1,"Initial","Ongoing"),"")</f>
        <v/>
      </c>
    </row>
    <row r="165" customFormat="false" ht="15" hidden="false" customHeight="true" outlineLevel="0" collapsed="false">
      <c r="A165" s="53"/>
      <c r="B165" s="54"/>
      <c r="C165" s="54"/>
      <c r="D165" s="54"/>
      <c r="E165" s="55"/>
      <c r="F165" s="42"/>
      <c r="G165" s="56" t="str">
        <f aca="false">IF($D165="Capital Call",IF(SUMPRODUCT(($B$6:$B165=$B165)*($D$6:$D165="Capital Call"))=1,"Initial","Ongoing"),"")</f>
        <v/>
      </c>
    </row>
    <row r="166" customFormat="false" ht="15" hidden="false" customHeight="true" outlineLevel="0" collapsed="false">
      <c r="A166" s="53"/>
      <c r="B166" s="54"/>
      <c r="C166" s="54"/>
      <c r="D166" s="54"/>
      <c r="E166" s="55"/>
      <c r="F166" s="42"/>
      <c r="G166" s="56" t="str">
        <f aca="false">IF($D166="Capital Call",IF(SUMPRODUCT(($B$6:$B166=$B166)*($D$6:$D166="Capital Call"))=1,"Initial","Ongoing"),"")</f>
        <v/>
      </c>
    </row>
    <row r="167" customFormat="false" ht="15" hidden="false" customHeight="true" outlineLevel="0" collapsed="false">
      <c r="A167" s="53"/>
      <c r="B167" s="54"/>
      <c r="C167" s="54"/>
      <c r="D167" s="54"/>
      <c r="E167" s="55"/>
      <c r="F167" s="42"/>
      <c r="G167" s="56" t="str">
        <f aca="false">IF($D167="Capital Call",IF(SUMPRODUCT(($B$6:$B167=$B167)*($D$6:$D167="Capital Call"))=1,"Initial","Ongoing"),"")</f>
        <v/>
      </c>
    </row>
    <row r="168" customFormat="false" ht="15" hidden="false" customHeight="true" outlineLevel="0" collapsed="false">
      <c r="A168" s="53"/>
      <c r="B168" s="54"/>
      <c r="C168" s="54"/>
      <c r="D168" s="54"/>
      <c r="E168" s="55"/>
      <c r="F168" s="42"/>
      <c r="G168" s="56" t="str">
        <f aca="false">IF($D168="Capital Call",IF(SUMPRODUCT(($B$6:$B168=$B168)*($D$6:$D168="Capital Call"))=1,"Initial","Ongoing"),"")</f>
        <v/>
      </c>
    </row>
    <row r="169" customFormat="false" ht="15" hidden="false" customHeight="true" outlineLevel="0" collapsed="false">
      <c r="A169" s="53"/>
      <c r="B169" s="54"/>
      <c r="C169" s="54"/>
      <c r="D169" s="54"/>
      <c r="E169" s="55"/>
      <c r="F169" s="42"/>
      <c r="G169" s="56" t="str">
        <f aca="false">IF($D169="Capital Call",IF(SUMPRODUCT(($B$6:$B169=$B169)*($D$6:$D169="Capital Call"))=1,"Initial","Ongoing"),"")</f>
        <v/>
      </c>
    </row>
    <row r="170" customFormat="false" ht="15" hidden="false" customHeight="true" outlineLevel="0" collapsed="false">
      <c r="A170" s="53"/>
      <c r="B170" s="54"/>
      <c r="C170" s="54"/>
      <c r="D170" s="54"/>
      <c r="E170" s="55"/>
      <c r="F170" s="42"/>
      <c r="G170" s="56" t="str">
        <f aca="false">IF($D170="Capital Call",IF(SUMPRODUCT(($B$6:$B170=$B170)*($D$6:$D170="Capital Call"))=1,"Initial","Ongoing"),"")</f>
        <v/>
      </c>
    </row>
    <row r="171" customFormat="false" ht="15" hidden="false" customHeight="true" outlineLevel="0" collapsed="false">
      <c r="A171" s="53"/>
      <c r="B171" s="54"/>
      <c r="C171" s="54"/>
      <c r="D171" s="54"/>
      <c r="E171" s="55"/>
      <c r="F171" s="42"/>
      <c r="G171" s="56" t="str">
        <f aca="false">IF($D171="Capital Call",IF(SUMPRODUCT(($B$6:$B171=$B171)*($D$6:$D171="Capital Call"))=1,"Initial","Ongoing"),"")</f>
        <v/>
      </c>
    </row>
    <row r="172" customFormat="false" ht="15" hidden="false" customHeight="true" outlineLevel="0" collapsed="false">
      <c r="A172" s="53"/>
      <c r="B172" s="54"/>
      <c r="C172" s="54"/>
      <c r="D172" s="54"/>
      <c r="E172" s="55"/>
      <c r="F172" s="42"/>
      <c r="G172" s="56" t="str">
        <f aca="false">IF($D172="Capital Call",IF(SUMPRODUCT(($B$6:$B172=$B172)*($D$6:$D172="Capital Call"))=1,"Initial","Ongoing"),"")</f>
        <v/>
      </c>
    </row>
    <row r="173" customFormat="false" ht="15" hidden="false" customHeight="true" outlineLevel="0" collapsed="false">
      <c r="A173" s="53"/>
      <c r="B173" s="54"/>
      <c r="C173" s="54"/>
      <c r="D173" s="54"/>
      <c r="E173" s="55"/>
      <c r="F173" s="42"/>
      <c r="G173" s="56" t="str">
        <f aca="false">IF($D173="Capital Call",IF(SUMPRODUCT(($B$6:$B173=$B173)*($D$6:$D173="Capital Call"))=1,"Initial","Ongoing"),"")</f>
        <v/>
      </c>
    </row>
    <row r="174" customFormat="false" ht="15" hidden="false" customHeight="true" outlineLevel="0" collapsed="false">
      <c r="A174" s="53"/>
      <c r="B174" s="54"/>
      <c r="C174" s="54"/>
      <c r="D174" s="54"/>
      <c r="E174" s="55"/>
      <c r="F174" s="42"/>
      <c r="G174" s="56" t="str">
        <f aca="false">IF($D174="Capital Call",IF(SUMPRODUCT(($B$6:$B174=$B174)*($D$6:$D174="Capital Call"))=1,"Initial","Ongoing"),"")</f>
        <v/>
      </c>
    </row>
    <row r="175" customFormat="false" ht="15" hidden="false" customHeight="true" outlineLevel="0" collapsed="false">
      <c r="A175" s="53"/>
      <c r="B175" s="54"/>
      <c r="C175" s="54"/>
      <c r="D175" s="54"/>
      <c r="E175" s="55"/>
      <c r="F175" s="42"/>
      <c r="G175" s="56" t="str">
        <f aca="false">IF($D175="Capital Call",IF(SUMPRODUCT(($B$6:$B175=$B175)*($D$6:$D175="Capital Call"))=1,"Initial","Ongoing"),"")</f>
        <v/>
      </c>
    </row>
    <row r="176" customFormat="false" ht="15" hidden="false" customHeight="true" outlineLevel="0" collapsed="false">
      <c r="A176" s="53"/>
      <c r="B176" s="54"/>
      <c r="C176" s="54"/>
      <c r="D176" s="54"/>
      <c r="E176" s="55"/>
      <c r="F176" s="42"/>
      <c r="G176" s="56" t="str">
        <f aca="false">IF($D176="Capital Call",IF(SUMPRODUCT(($B$6:$B176=$B176)*($D$6:$D176="Capital Call"))=1,"Initial","Ongoing"),"")</f>
        <v/>
      </c>
    </row>
    <row r="177" customFormat="false" ht="15" hidden="false" customHeight="true" outlineLevel="0" collapsed="false">
      <c r="A177" s="53"/>
      <c r="B177" s="54"/>
      <c r="C177" s="54"/>
      <c r="D177" s="54"/>
      <c r="E177" s="55"/>
      <c r="F177" s="42"/>
      <c r="G177" s="56" t="str">
        <f aca="false">IF($D177="Capital Call",IF(SUMPRODUCT(($B$6:$B177=$B177)*($D$6:$D177="Capital Call"))=1,"Initial","Ongoing"),"")</f>
        <v/>
      </c>
    </row>
    <row r="178" customFormat="false" ht="15" hidden="false" customHeight="true" outlineLevel="0" collapsed="false">
      <c r="A178" s="53"/>
      <c r="B178" s="54"/>
      <c r="C178" s="54"/>
      <c r="D178" s="54"/>
      <c r="E178" s="55"/>
      <c r="F178" s="42"/>
      <c r="G178" s="56" t="str">
        <f aca="false">IF($D178="Capital Call",IF(SUMPRODUCT(($B$6:$B178=$B178)*($D$6:$D178="Capital Call"))=1,"Initial","Ongoing"),"")</f>
        <v/>
      </c>
    </row>
    <row r="179" customFormat="false" ht="15" hidden="false" customHeight="true" outlineLevel="0" collapsed="false">
      <c r="A179" s="53"/>
      <c r="B179" s="54"/>
      <c r="C179" s="54"/>
      <c r="D179" s="54"/>
      <c r="E179" s="55"/>
      <c r="F179" s="42"/>
      <c r="G179" s="56" t="str">
        <f aca="false">IF($D179="Capital Call",IF(SUMPRODUCT(($B$6:$B179=$B179)*($D$6:$D179="Capital Call"))=1,"Initial","Ongoing"),"")</f>
        <v/>
      </c>
    </row>
    <row r="180" customFormat="false" ht="15" hidden="false" customHeight="true" outlineLevel="0" collapsed="false">
      <c r="A180" s="53"/>
      <c r="B180" s="54"/>
      <c r="C180" s="54"/>
      <c r="D180" s="54"/>
      <c r="E180" s="55"/>
      <c r="F180" s="42"/>
      <c r="G180" s="56" t="str">
        <f aca="false">IF($D180="Capital Call",IF(SUMPRODUCT(($B$6:$B180=$B180)*($D$6:$D180="Capital Call"))=1,"Initial","Ongoing"),"")</f>
        <v/>
      </c>
    </row>
    <row r="181" customFormat="false" ht="15" hidden="false" customHeight="true" outlineLevel="0" collapsed="false">
      <c r="A181" s="53"/>
      <c r="B181" s="54"/>
      <c r="C181" s="54"/>
      <c r="D181" s="54"/>
      <c r="E181" s="55"/>
      <c r="F181" s="42"/>
      <c r="G181" s="56" t="str">
        <f aca="false">IF($D181="Capital Call",IF(SUMPRODUCT(($B$6:$B181=$B181)*($D$6:$D181="Capital Call"))=1,"Initial","Ongoing"),"")</f>
        <v/>
      </c>
    </row>
    <row r="182" customFormat="false" ht="15" hidden="false" customHeight="true" outlineLevel="0" collapsed="false">
      <c r="A182" s="53"/>
      <c r="B182" s="54"/>
      <c r="C182" s="54"/>
      <c r="D182" s="54"/>
      <c r="E182" s="55"/>
      <c r="F182" s="42"/>
      <c r="G182" s="56" t="str">
        <f aca="false">IF($D182="Capital Call",IF(SUMPRODUCT(($B$6:$B182=$B182)*($D$6:$D182="Capital Call"))=1,"Initial","Ongoing"),"")</f>
        <v/>
      </c>
    </row>
    <row r="183" customFormat="false" ht="15" hidden="false" customHeight="true" outlineLevel="0" collapsed="false">
      <c r="A183" s="53"/>
      <c r="B183" s="54"/>
      <c r="C183" s="54"/>
      <c r="D183" s="54"/>
      <c r="E183" s="55"/>
      <c r="F183" s="42"/>
      <c r="G183" s="56" t="str">
        <f aca="false">IF($D183="Capital Call",IF(SUMPRODUCT(($B$6:$B183=$B183)*($D$6:$D183="Capital Call"))=1,"Initial","Ongoing"),"")</f>
        <v/>
      </c>
    </row>
    <row r="184" customFormat="false" ht="15" hidden="false" customHeight="true" outlineLevel="0" collapsed="false">
      <c r="A184" s="53"/>
      <c r="B184" s="54"/>
      <c r="C184" s="54"/>
      <c r="D184" s="54"/>
      <c r="E184" s="55"/>
      <c r="F184" s="42"/>
      <c r="G184" s="56" t="str">
        <f aca="false">IF($D184="Capital Call",IF(SUMPRODUCT(($B$6:$B184=$B184)*($D$6:$D184="Capital Call"))=1,"Initial","Ongoing"),"")</f>
        <v/>
      </c>
    </row>
    <row r="185" customFormat="false" ht="15" hidden="false" customHeight="true" outlineLevel="0" collapsed="false">
      <c r="A185" s="53"/>
      <c r="B185" s="54"/>
      <c r="C185" s="54"/>
      <c r="D185" s="54"/>
      <c r="E185" s="55"/>
      <c r="F185" s="42"/>
      <c r="G185" s="56" t="str">
        <f aca="false">IF($D185="Capital Call",IF(SUMPRODUCT(($B$6:$B185=$B185)*($D$6:$D185="Capital Call"))=1,"Initial","Ongoing"),"")</f>
        <v/>
      </c>
    </row>
    <row r="186" customFormat="false" ht="15" hidden="false" customHeight="true" outlineLevel="0" collapsed="false">
      <c r="A186" s="53"/>
      <c r="B186" s="54"/>
      <c r="C186" s="54"/>
      <c r="D186" s="54"/>
      <c r="E186" s="55"/>
      <c r="F186" s="42"/>
      <c r="G186" s="56" t="str">
        <f aca="false">IF($D186="Capital Call",IF(SUMPRODUCT(($B$6:$B186=$B186)*($D$6:$D186="Capital Call"))=1,"Initial","Ongoing"),"")</f>
        <v/>
      </c>
    </row>
    <row r="187" customFormat="false" ht="15" hidden="false" customHeight="true" outlineLevel="0" collapsed="false">
      <c r="A187" s="53"/>
      <c r="B187" s="54"/>
      <c r="C187" s="54"/>
      <c r="D187" s="54"/>
      <c r="E187" s="55"/>
      <c r="F187" s="42"/>
      <c r="G187" s="56" t="str">
        <f aca="false">IF($D187="Capital Call",IF(SUMPRODUCT(($B$6:$B187=$B187)*($D$6:$D187="Capital Call"))=1,"Initial","Ongoing"),"")</f>
        <v/>
      </c>
    </row>
    <row r="188" customFormat="false" ht="15" hidden="false" customHeight="true" outlineLevel="0" collapsed="false">
      <c r="A188" s="53"/>
      <c r="B188" s="54"/>
      <c r="C188" s="54"/>
      <c r="D188" s="54"/>
      <c r="E188" s="55"/>
      <c r="F188" s="42"/>
      <c r="G188" s="56" t="str">
        <f aca="false">IF($D188="Capital Call",IF(SUMPRODUCT(($B$6:$B188=$B188)*($D$6:$D188="Capital Call"))=1,"Initial","Ongoing"),"")</f>
        <v/>
      </c>
    </row>
    <row r="189" customFormat="false" ht="15" hidden="false" customHeight="true" outlineLevel="0" collapsed="false">
      <c r="A189" s="53"/>
      <c r="B189" s="54"/>
      <c r="C189" s="54"/>
      <c r="D189" s="54"/>
      <c r="E189" s="55"/>
      <c r="F189" s="42"/>
      <c r="G189" s="56" t="str">
        <f aca="false">IF($D189="Capital Call",IF(SUMPRODUCT(($B$6:$B189=$B189)*($D$6:$D189="Capital Call"))=1,"Initial","Ongoing"),"")</f>
        <v/>
      </c>
    </row>
    <row r="190" customFormat="false" ht="15" hidden="false" customHeight="true" outlineLevel="0" collapsed="false">
      <c r="A190" s="53"/>
      <c r="B190" s="54"/>
      <c r="C190" s="54"/>
      <c r="D190" s="54"/>
      <c r="E190" s="55"/>
      <c r="F190" s="42"/>
      <c r="G190" s="56" t="str">
        <f aca="false">IF($D190="Capital Call",IF(SUMPRODUCT(($B$6:$B190=$B190)*($D$6:$D190="Capital Call"))=1,"Initial","Ongoing"),"")</f>
        <v/>
      </c>
    </row>
    <row r="191" customFormat="false" ht="15" hidden="false" customHeight="true" outlineLevel="0" collapsed="false">
      <c r="A191" s="53"/>
      <c r="B191" s="54"/>
      <c r="C191" s="54"/>
      <c r="D191" s="54"/>
      <c r="E191" s="55"/>
      <c r="F191" s="42"/>
      <c r="G191" s="56" t="str">
        <f aca="false">IF($D191="Capital Call",IF(SUMPRODUCT(($B$6:$B191=$B191)*($D$6:$D191="Capital Call"))=1,"Initial","Ongoing"),"")</f>
        <v/>
      </c>
    </row>
    <row r="192" customFormat="false" ht="15" hidden="false" customHeight="true" outlineLevel="0" collapsed="false">
      <c r="A192" s="53"/>
      <c r="B192" s="54"/>
      <c r="C192" s="54"/>
      <c r="D192" s="54"/>
      <c r="E192" s="55"/>
      <c r="F192" s="42"/>
      <c r="G192" s="56" t="str">
        <f aca="false">IF($D192="Capital Call",IF(SUMPRODUCT(($B$6:$B192=$B192)*($D$6:$D192="Capital Call"))=1,"Initial","Ongoing"),"")</f>
        <v/>
      </c>
    </row>
    <row r="193" customFormat="false" ht="15" hidden="false" customHeight="true" outlineLevel="0" collapsed="false">
      <c r="A193" s="53"/>
      <c r="B193" s="54"/>
      <c r="C193" s="54"/>
      <c r="D193" s="54"/>
      <c r="E193" s="55"/>
      <c r="F193" s="42"/>
      <c r="G193" s="56" t="str">
        <f aca="false">IF($D193="Capital Call",IF(SUMPRODUCT(($B$6:$B193=$B193)*($D$6:$D193="Capital Call"))=1,"Initial","Ongoing"),"")</f>
        <v/>
      </c>
    </row>
    <row r="194" customFormat="false" ht="15" hidden="false" customHeight="true" outlineLevel="0" collapsed="false">
      <c r="A194" s="53"/>
      <c r="B194" s="54"/>
      <c r="C194" s="54"/>
      <c r="D194" s="54"/>
      <c r="E194" s="55"/>
      <c r="F194" s="42"/>
      <c r="G194" s="56" t="str">
        <f aca="false">IF($D194="Capital Call",IF(SUMPRODUCT(($B$6:$B194=$B194)*($D$6:$D194="Capital Call"))=1,"Initial","Ongoing"),"")</f>
        <v/>
      </c>
    </row>
    <row r="195" customFormat="false" ht="15" hidden="false" customHeight="true" outlineLevel="0" collapsed="false">
      <c r="A195" s="53"/>
      <c r="B195" s="54"/>
      <c r="C195" s="54"/>
      <c r="D195" s="54"/>
      <c r="E195" s="55"/>
      <c r="F195" s="42"/>
      <c r="G195" s="56" t="str">
        <f aca="false">IF($D195="Capital Call",IF(SUMPRODUCT(($B$6:$B195=$B195)*($D$6:$D195="Capital Call"))=1,"Initial","Ongoing"),"")</f>
        <v/>
      </c>
    </row>
    <row r="196" customFormat="false" ht="15" hidden="false" customHeight="true" outlineLevel="0" collapsed="false">
      <c r="A196" s="53"/>
      <c r="B196" s="54"/>
      <c r="C196" s="54"/>
      <c r="D196" s="54"/>
      <c r="E196" s="55"/>
      <c r="F196" s="42"/>
      <c r="G196" s="56" t="str">
        <f aca="false">IF($D196="Capital Call",IF(SUMPRODUCT(($B$6:$B196=$B196)*($D$6:$D196="Capital Call"))=1,"Initial","Ongoing"),"")</f>
        <v/>
      </c>
    </row>
    <row r="197" customFormat="false" ht="15" hidden="false" customHeight="true" outlineLevel="0" collapsed="false">
      <c r="A197" s="53"/>
      <c r="B197" s="54"/>
      <c r="C197" s="54"/>
      <c r="D197" s="54"/>
      <c r="E197" s="55"/>
      <c r="F197" s="42"/>
      <c r="G197" s="56" t="str">
        <f aca="false">IF($D197="Capital Call",IF(SUMPRODUCT(($B$6:$B197=$B197)*($D$6:$D197="Capital Call"))=1,"Initial","Ongoing"),"")</f>
        <v/>
      </c>
    </row>
    <row r="198" customFormat="false" ht="15" hidden="false" customHeight="true" outlineLevel="0" collapsed="false">
      <c r="A198" s="53"/>
      <c r="B198" s="54"/>
      <c r="C198" s="54"/>
      <c r="D198" s="54"/>
      <c r="E198" s="55"/>
      <c r="F198" s="42"/>
      <c r="G198" s="56" t="str">
        <f aca="false">IF($D198="Capital Call",IF(SUMPRODUCT(($B$6:$B198=$B198)*($D$6:$D198="Capital Call"))=1,"Initial","Ongoing"),"")</f>
        <v/>
      </c>
    </row>
    <row r="199" customFormat="false" ht="15" hidden="false" customHeight="true" outlineLevel="0" collapsed="false">
      <c r="A199" s="53"/>
      <c r="B199" s="54"/>
      <c r="C199" s="54"/>
      <c r="D199" s="54"/>
      <c r="E199" s="55"/>
      <c r="F199" s="42"/>
      <c r="G199" s="56" t="str">
        <f aca="false">IF($D199="Capital Call",IF(SUMPRODUCT(($B$6:$B199=$B199)*($D$6:$D199="Capital Call"))=1,"Initial","Ongoing"),"")</f>
        <v/>
      </c>
    </row>
    <row r="200" customFormat="false" ht="15" hidden="false" customHeight="true" outlineLevel="0" collapsed="false">
      <c r="A200" s="53"/>
      <c r="B200" s="54"/>
      <c r="C200" s="54"/>
      <c r="D200" s="54"/>
      <c r="E200" s="55"/>
      <c r="F200" s="42"/>
      <c r="G200" s="56" t="str">
        <f aca="false">IF($D200="Capital Call",IF(SUMPRODUCT(($B$6:$B200=$B200)*($D$6:$D200="Capital Call"))=1,"Initial","Ongoing"),"")</f>
        <v/>
      </c>
    </row>
    <row r="201" customFormat="false" ht="15" hidden="false" customHeight="true" outlineLevel="0" collapsed="false">
      <c r="A201" s="53"/>
      <c r="B201" s="54"/>
      <c r="C201" s="54"/>
      <c r="D201" s="54"/>
      <c r="E201" s="55"/>
      <c r="F201" s="42"/>
      <c r="G201" s="56" t="str">
        <f aca="false">IF($D201="Capital Call",IF(SUMPRODUCT(($B$6:$B201=$B201)*($D$6:$D201="Capital Call"))=1,"Initial","Ongoing"),"")</f>
        <v/>
      </c>
    </row>
    <row r="202" customFormat="false" ht="15" hidden="false" customHeight="true" outlineLevel="0" collapsed="false">
      <c r="A202" s="53"/>
      <c r="B202" s="54"/>
      <c r="C202" s="54"/>
      <c r="D202" s="54"/>
      <c r="E202" s="55"/>
      <c r="F202" s="42"/>
      <c r="G202" s="56" t="str">
        <f aca="false">IF($D202="Capital Call",IF(SUMPRODUCT(($B$6:$B202=$B202)*($D$6:$D202="Capital Call"))=1,"Initial","Ongoing"),"")</f>
        <v/>
      </c>
    </row>
    <row r="203" customFormat="false" ht="15" hidden="false" customHeight="true" outlineLevel="0" collapsed="false">
      <c r="A203" s="53"/>
      <c r="B203" s="54"/>
      <c r="C203" s="54"/>
      <c r="D203" s="54"/>
      <c r="E203" s="55"/>
      <c r="F203" s="42"/>
      <c r="G203" s="56" t="str">
        <f aca="false">IF($D203="Capital Call",IF(SUMPRODUCT(($B$6:$B203=$B203)*($D$6:$D203="Capital Call"))=1,"Initial","Ongoing"),"")</f>
        <v/>
      </c>
    </row>
    <row r="204" customFormat="false" ht="15" hidden="false" customHeight="true" outlineLevel="0" collapsed="false">
      <c r="A204" s="53"/>
      <c r="B204" s="54"/>
      <c r="C204" s="54"/>
      <c r="D204" s="54"/>
      <c r="E204" s="55"/>
      <c r="F204" s="42"/>
      <c r="G204" s="56" t="str">
        <f aca="false">IF($D204="Capital Call",IF(SUMPRODUCT(($B$6:$B204=$B204)*($D$6:$D204="Capital Call"))=1,"Initial","Ongoing"),"")</f>
        <v/>
      </c>
    </row>
    <row r="205" customFormat="false" ht="15" hidden="false" customHeight="true" outlineLevel="0" collapsed="false">
      <c r="A205" s="53"/>
      <c r="B205" s="54"/>
      <c r="C205" s="54"/>
      <c r="D205" s="54"/>
      <c r="E205" s="55"/>
      <c r="F205" s="42"/>
      <c r="G205" s="56" t="str">
        <f aca="false">IF($D205="Capital Call",IF(SUMPRODUCT(($B$6:$B205=$B205)*($D$6:$D205="Capital Call"))=1,"Initial","Ongoing"),"")</f>
        <v/>
      </c>
    </row>
    <row r="206" customFormat="false" ht="15" hidden="false" customHeight="true" outlineLevel="0" collapsed="false">
      <c r="A206" s="53"/>
      <c r="B206" s="54"/>
      <c r="C206" s="54"/>
      <c r="D206" s="54"/>
      <c r="E206" s="55"/>
      <c r="F206" s="42"/>
      <c r="G206" s="56" t="str">
        <f aca="false">IF($D206="Capital Call",IF(SUMPRODUCT(($B$6:$B206=$B206)*($D$6:$D206="Capital Call"))=1,"Initial","Ongoing"),"")</f>
        <v/>
      </c>
    </row>
    <row r="207" customFormat="false" ht="15" hidden="false" customHeight="true" outlineLevel="0" collapsed="false">
      <c r="A207" s="53"/>
      <c r="B207" s="54"/>
      <c r="C207" s="54"/>
      <c r="D207" s="54"/>
      <c r="E207" s="55"/>
      <c r="F207" s="42"/>
      <c r="G207" s="56" t="str">
        <f aca="false">IF($D207="Capital Call",IF(SUMPRODUCT(($B$6:$B207=$B207)*($D$6:$D207="Capital Call"))=1,"Initial","Ongoing"),"")</f>
        <v/>
      </c>
    </row>
    <row r="208" customFormat="false" ht="15" hidden="false" customHeight="true" outlineLevel="0" collapsed="false">
      <c r="A208" s="53"/>
      <c r="B208" s="54"/>
      <c r="C208" s="54"/>
      <c r="D208" s="54"/>
      <c r="E208" s="55"/>
      <c r="F208" s="42"/>
      <c r="G208" s="56" t="str">
        <f aca="false">IF($D208="Capital Call",IF(SUMPRODUCT(($B$6:$B208=$B208)*($D$6:$D208="Capital Call"))=1,"Initial","Ongoing"),"")</f>
        <v/>
      </c>
    </row>
    <row r="209" customFormat="false" ht="15" hidden="false" customHeight="true" outlineLevel="0" collapsed="false">
      <c r="A209" s="53"/>
      <c r="B209" s="54"/>
      <c r="C209" s="54"/>
      <c r="D209" s="54"/>
      <c r="E209" s="55"/>
      <c r="F209" s="42"/>
      <c r="G209" s="56" t="str">
        <f aca="false">IF($D209="Capital Call",IF(SUMPRODUCT(($B$6:$B209=$B209)*($D$6:$D209="Capital Call"))=1,"Initial","Ongoing"),"")</f>
        <v/>
      </c>
    </row>
    <row r="210" customFormat="false" ht="15" hidden="false" customHeight="true" outlineLevel="0" collapsed="false">
      <c r="A210" s="53"/>
      <c r="B210" s="54"/>
      <c r="C210" s="54"/>
      <c r="D210" s="54"/>
      <c r="E210" s="55"/>
      <c r="F210" s="42"/>
      <c r="G210" s="56" t="str">
        <f aca="false">IF($D210="Capital Call",IF(SUMPRODUCT(($B$6:$B210=$B210)*($D$6:$D210="Capital Call"))=1,"Initial","Ongoing"),"")</f>
        <v/>
      </c>
    </row>
    <row r="211" customFormat="false" ht="15" hidden="false" customHeight="true" outlineLevel="0" collapsed="false">
      <c r="A211" s="53"/>
      <c r="B211" s="54"/>
      <c r="C211" s="54"/>
      <c r="D211" s="54"/>
      <c r="E211" s="55"/>
      <c r="F211" s="42"/>
      <c r="G211" s="56" t="str">
        <f aca="false">IF($D211="Capital Call",IF(SUMPRODUCT(($B$6:$B211=$B211)*($D$6:$D211="Capital Call"))=1,"Initial","Ongoing"),"")</f>
        <v/>
      </c>
    </row>
    <row r="212" customFormat="false" ht="15" hidden="false" customHeight="true" outlineLevel="0" collapsed="false">
      <c r="A212" s="53"/>
      <c r="B212" s="54"/>
      <c r="C212" s="54"/>
      <c r="D212" s="54"/>
      <c r="E212" s="55"/>
      <c r="F212" s="42"/>
      <c r="G212" s="56" t="str">
        <f aca="false">IF($D212="Capital Call",IF(SUMPRODUCT(($B$6:$B212=$B212)*($D$6:$D212="Capital Call"))=1,"Initial","Ongoing"),"")</f>
        <v/>
      </c>
    </row>
    <row r="213" customFormat="false" ht="15" hidden="false" customHeight="true" outlineLevel="0" collapsed="false">
      <c r="A213" s="53"/>
      <c r="B213" s="54"/>
      <c r="C213" s="54"/>
      <c r="D213" s="54"/>
      <c r="E213" s="55"/>
      <c r="F213" s="42"/>
      <c r="G213" s="56" t="str">
        <f aca="false">IF($D213="Capital Call",IF(SUMPRODUCT(($B$6:$B213=$B213)*($D$6:$D213="Capital Call"))=1,"Initial","Ongoing"),"")</f>
        <v/>
      </c>
    </row>
    <row r="214" customFormat="false" ht="15" hidden="false" customHeight="true" outlineLevel="0" collapsed="false">
      <c r="A214" s="53"/>
      <c r="B214" s="54"/>
      <c r="C214" s="54"/>
      <c r="D214" s="54"/>
      <c r="E214" s="55"/>
      <c r="F214" s="42"/>
      <c r="G214" s="56" t="str">
        <f aca="false">IF($D214="Capital Call",IF(SUMPRODUCT(($B$6:$B214=$B214)*($D$6:$D214="Capital Call"))=1,"Initial","Ongoing"),"")</f>
        <v/>
      </c>
    </row>
    <row r="215" customFormat="false" ht="15" hidden="false" customHeight="true" outlineLevel="0" collapsed="false">
      <c r="A215" s="53"/>
      <c r="B215" s="54"/>
      <c r="C215" s="54"/>
      <c r="D215" s="54"/>
      <c r="E215" s="55"/>
      <c r="F215" s="42"/>
      <c r="G215" s="56" t="str">
        <f aca="false">IF($D215="Capital Call",IF(SUMPRODUCT(($B$6:$B215=$B215)*($D$6:$D215="Capital Call"))=1,"Initial","Ongoing"),"")</f>
        <v/>
      </c>
    </row>
    <row r="216" customFormat="false" ht="15" hidden="false" customHeight="true" outlineLevel="0" collapsed="false">
      <c r="A216" s="53"/>
      <c r="B216" s="54"/>
      <c r="C216" s="54"/>
      <c r="D216" s="54"/>
      <c r="E216" s="55"/>
      <c r="F216" s="42"/>
      <c r="G216" s="56" t="str">
        <f aca="false">IF($D216="Capital Call",IF(SUMPRODUCT(($B$6:$B216=$B216)*($D$6:$D216="Capital Call"))=1,"Initial","Ongoing"),"")</f>
        <v/>
      </c>
    </row>
    <row r="217" customFormat="false" ht="15" hidden="false" customHeight="true" outlineLevel="0" collapsed="false">
      <c r="A217" s="53"/>
      <c r="B217" s="54"/>
      <c r="C217" s="54"/>
      <c r="D217" s="54"/>
      <c r="E217" s="55"/>
      <c r="F217" s="42"/>
      <c r="G217" s="56" t="str">
        <f aca="false">IF($D217="Capital Call",IF(SUMPRODUCT(($B$6:$B217=$B217)*($D$6:$D217="Capital Call"))=1,"Initial","Ongoing"),"")</f>
        <v/>
      </c>
    </row>
    <row r="218" customFormat="false" ht="15" hidden="false" customHeight="true" outlineLevel="0" collapsed="false">
      <c r="A218" s="53"/>
      <c r="B218" s="54"/>
      <c r="C218" s="54"/>
      <c r="D218" s="54"/>
      <c r="E218" s="55"/>
      <c r="F218" s="42"/>
      <c r="G218" s="56" t="str">
        <f aca="false">IF($D218="Capital Call",IF(SUMPRODUCT(($B$6:$B218=$B218)*($D$6:$D218="Capital Call"))=1,"Initial","Ongoing"),"")</f>
        <v/>
      </c>
    </row>
    <row r="219" customFormat="false" ht="15" hidden="false" customHeight="true" outlineLevel="0" collapsed="false">
      <c r="A219" s="53"/>
      <c r="B219" s="54"/>
      <c r="C219" s="54"/>
      <c r="D219" s="54"/>
      <c r="E219" s="55"/>
      <c r="F219" s="42"/>
      <c r="G219" s="56" t="str">
        <f aca="false">IF($D219="Capital Call",IF(SUMPRODUCT(($B$6:$B219=$B219)*($D$6:$D219="Capital Call"))=1,"Initial","Ongoing"),"")</f>
        <v/>
      </c>
    </row>
    <row r="220" customFormat="false" ht="15" hidden="false" customHeight="true" outlineLevel="0" collapsed="false">
      <c r="A220" s="53"/>
      <c r="B220" s="54"/>
      <c r="C220" s="54"/>
      <c r="D220" s="54"/>
      <c r="E220" s="55"/>
      <c r="F220" s="42"/>
      <c r="G220" s="56" t="str">
        <f aca="false">IF($D220="Capital Call",IF(SUMPRODUCT(($B$6:$B220=$B220)*($D$6:$D220="Capital Call"))=1,"Initial","Ongoing"),"")</f>
        <v/>
      </c>
    </row>
    <row r="221" customFormat="false" ht="15" hidden="false" customHeight="true" outlineLevel="0" collapsed="false">
      <c r="A221" s="53"/>
      <c r="B221" s="54"/>
      <c r="C221" s="54"/>
      <c r="D221" s="54"/>
      <c r="E221" s="55"/>
      <c r="F221" s="42"/>
      <c r="G221" s="56" t="str">
        <f aca="false">IF($D221="Capital Call",IF(SUMPRODUCT(($B$6:$B221=$B221)*($D$6:$D221="Capital Call"))=1,"Initial","Ongoing"),"")</f>
        <v/>
      </c>
    </row>
    <row r="222" customFormat="false" ht="15" hidden="false" customHeight="true" outlineLevel="0" collapsed="false">
      <c r="A222" s="53"/>
      <c r="B222" s="54"/>
      <c r="C222" s="54"/>
      <c r="D222" s="54"/>
      <c r="E222" s="55"/>
      <c r="F222" s="42"/>
      <c r="G222" s="56" t="str">
        <f aca="false">IF($D222="Capital Call",IF(SUMPRODUCT(($B$6:$B222=$B222)*($D$6:$D222="Capital Call"))=1,"Initial","Ongoing"),"")</f>
        <v/>
      </c>
    </row>
    <row r="223" customFormat="false" ht="15" hidden="false" customHeight="true" outlineLevel="0" collapsed="false">
      <c r="A223" s="53"/>
      <c r="B223" s="54"/>
      <c r="C223" s="54"/>
      <c r="D223" s="54"/>
      <c r="E223" s="55"/>
      <c r="F223" s="42"/>
      <c r="G223" s="56" t="str">
        <f aca="false">IF($D223="Capital Call",IF(SUMPRODUCT(($B$6:$B223=$B223)*($D$6:$D223="Capital Call"))=1,"Initial","Ongoing"),"")</f>
        <v/>
      </c>
    </row>
    <row r="224" customFormat="false" ht="15" hidden="false" customHeight="true" outlineLevel="0" collapsed="false">
      <c r="A224" s="53"/>
      <c r="B224" s="54"/>
      <c r="C224" s="54"/>
      <c r="D224" s="54"/>
      <c r="E224" s="55"/>
      <c r="F224" s="42"/>
      <c r="G224" s="56" t="str">
        <f aca="false">IF($D224="Capital Call",IF(SUMPRODUCT(($B$6:$B224=$B224)*($D$6:$D224="Capital Call"))=1,"Initial","Ongoing"),"")</f>
        <v/>
      </c>
    </row>
    <row r="225" customFormat="false" ht="15" hidden="false" customHeight="true" outlineLevel="0" collapsed="false">
      <c r="A225" s="53"/>
      <c r="B225" s="54"/>
      <c r="C225" s="54"/>
      <c r="D225" s="54"/>
      <c r="E225" s="55"/>
      <c r="F225" s="42"/>
      <c r="G225" s="56" t="str">
        <f aca="false">IF($D225="Capital Call",IF(SUMPRODUCT(($B$6:$B225=$B225)*($D$6:$D225="Capital Call"))=1,"Initial","Ongoing"),"")</f>
        <v/>
      </c>
    </row>
    <row r="226" customFormat="false" ht="15" hidden="false" customHeight="true" outlineLevel="0" collapsed="false">
      <c r="A226" s="53"/>
      <c r="B226" s="54"/>
      <c r="C226" s="54"/>
      <c r="D226" s="54"/>
      <c r="E226" s="55"/>
      <c r="F226" s="42"/>
      <c r="G226" s="56" t="str">
        <f aca="false">IF($D226="Capital Call",IF(SUMPRODUCT(($B$6:$B226=$B226)*($D$6:$D226="Capital Call"))=1,"Initial","Ongoing"),"")</f>
        <v/>
      </c>
    </row>
    <row r="227" customFormat="false" ht="15" hidden="false" customHeight="true" outlineLevel="0" collapsed="false">
      <c r="A227" s="53"/>
      <c r="B227" s="54"/>
      <c r="C227" s="54"/>
      <c r="D227" s="54"/>
      <c r="E227" s="55"/>
      <c r="F227" s="42"/>
      <c r="G227" s="56" t="str">
        <f aca="false">IF($D227="Capital Call",IF(SUMPRODUCT(($B$6:$B227=$B227)*($D$6:$D227="Capital Call"))=1,"Initial","Ongoing"),"")</f>
        <v/>
      </c>
    </row>
    <row r="228" customFormat="false" ht="15" hidden="false" customHeight="true" outlineLevel="0" collapsed="false">
      <c r="A228" s="53"/>
      <c r="B228" s="54"/>
      <c r="C228" s="54"/>
      <c r="D228" s="54"/>
      <c r="E228" s="55"/>
      <c r="F228" s="42"/>
      <c r="G228" s="56" t="str">
        <f aca="false">IF($D228="Capital Call",IF(SUMPRODUCT(($B$6:$B228=$B228)*($D$6:$D228="Capital Call"))=1,"Initial","Ongoing"),"")</f>
        <v/>
      </c>
    </row>
    <row r="229" customFormat="false" ht="15" hidden="false" customHeight="true" outlineLevel="0" collapsed="false">
      <c r="A229" s="53"/>
      <c r="B229" s="54"/>
      <c r="C229" s="54"/>
      <c r="D229" s="54"/>
      <c r="E229" s="55"/>
      <c r="F229" s="42"/>
      <c r="G229" s="56" t="str">
        <f aca="false">IF($D229="Capital Call",IF(SUMPRODUCT(($B$6:$B229=$B229)*($D$6:$D229="Capital Call"))=1,"Initial","Ongoing"),"")</f>
        <v/>
      </c>
    </row>
    <row r="230" customFormat="false" ht="15" hidden="false" customHeight="true" outlineLevel="0" collapsed="false">
      <c r="A230" s="53"/>
      <c r="B230" s="54"/>
      <c r="C230" s="54"/>
      <c r="D230" s="54"/>
      <c r="E230" s="55"/>
      <c r="F230" s="42"/>
      <c r="G230" s="56" t="str">
        <f aca="false">IF($D230="Capital Call",IF(SUMPRODUCT(($B$6:$B230=$B230)*($D$6:$D230="Capital Call"))=1,"Initial","Ongoing"),"")</f>
        <v/>
      </c>
    </row>
    <row r="231" customFormat="false" ht="15" hidden="false" customHeight="true" outlineLevel="0" collapsed="false">
      <c r="A231" s="53"/>
      <c r="B231" s="54"/>
      <c r="C231" s="54"/>
      <c r="D231" s="54"/>
      <c r="E231" s="55"/>
      <c r="F231" s="42"/>
      <c r="G231" s="56" t="str">
        <f aca="false">IF($D231="Capital Call",IF(SUMPRODUCT(($B$6:$B231=$B231)*($D$6:$D231="Capital Call"))=1,"Initial","Ongoing"),"")</f>
        <v/>
      </c>
    </row>
    <row r="232" customFormat="false" ht="15" hidden="false" customHeight="true" outlineLevel="0" collapsed="false">
      <c r="A232" s="53"/>
      <c r="B232" s="54"/>
      <c r="C232" s="54"/>
      <c r="D232" s="54"/>
      <c r="E232" s="55"/>
      <c r="F232" s="42"/>
      <c r="G232" s="56" t="str">
        <f aca="false">IF($D232="Capital Call",IF(SUMPRODUCT(($B$6:$B232=$B232)*($D$6:$D232="Capital Call"))=1,"Initial","Ongoing"),"")</f>
        <v/>
      </c>
    </row>
    <row r="233" customFormat="false" ht="15" hidden="false" customHeight="true" outlineLevel="0" collapsed="false">
      <c r="A233" s="53"/>
      <c r="B233" s="54"/>
      <c r="C233" s="54"/>
      <c r="D233" s="54"/>
      <c r="E233" s="55"/>
      <c r="F233" s="42"/>
      <c r="G233" s="56" t="str">
        <f aca="false">IF($D233="Capital Call",IF(SUMPRODUCT(($B$6:$B233=$B233)*($D$6:$D233="Capital Call"))=1,"Initial","Ongoing"),"")</f>
        <v/>
      </c>
    </row>
    <row r="234" customFormat="false" ht="15" hidden="false" customHeight="true" outlineLevel="0" collapsed="false">
      <c r="A234" s="53"/>
      <c r="B234" s="54"/>
      <c r="C234" s="54"/>
      <c r="D234" s="54"/>
      <c r="E234" s="55"/>
      <c r="F234" s="42"/>
      <c r="G234" s="56" t="str">
        <f aca="false">IF($D234="Capital Call",IF(SUMPRODUCT(($B$6:$B234=$B234)*($D$6:$D234="Capital Call"))=1,"Initial","Ongoing"),"")</f>
        <v/>
      </c>
    </row>
    <row r="235" customFormat="false" ht="15" hidden="false" customHeight="true" outlineLevel="0" collapsed="false">
      <c r="A235" s="53"/>
      <c r="B235" s="54"/>
      <c r="C235" s="54"/>
      <c r="D235" s="54"/>
      <c r="E235" s="55"/>
      <c r="F235" s="42"/>
      <c r="G235" s="56" t="str">
        <f aca="false">IF($D235="Capital Call",IF(SUMPRODUCT(($B$6:$B235=$B235)*($D$6:$D235="Capital Call"))=1,"Initial","Ongoing"),"")</f>
        <v/>
      </c>
    </row>
    <row r="236" customFormat="false" ht="15" hidden="false" customHeight="true" outlineLevel="0" collapsed="false">
      <c r="A236" s="53"/>
      <c r="B236" s="54"/>
      <c r="C236" s="54"/>
      <c r="D236" s="54"/>
      <c r="E236" s="55"/>
      <c r="F236" s="42"/>
      <c r="G236" s="56" t="str">
        <f aca="false">IF($D236="Capital Call",IF(SUMPRODUCT(($B$6:$B236=$B236)*($D$6:$D236="Capital Call"))=1,"Initial","Ongoing"),"")</f>
        <v/>
      </c>
    </row>
    <row r="237" customFormat="false" ht="15" hidden="false" customHeight="true" outlineLevel="0" collapsed="false">
      <c r="A237" s="53"/>
      <c r="B237" s="54"/>
      <c r="C237" s="54"/>
      <c r="D237" s="54"/>
      <c r="E237" s="55"/>
      <c r="F237" s="42"/>
      <c r="G237" s="56" t="str">
        <f aca="false">IF($D237="Capital Call",IF(SUMPRODUCT(($B$6:$B237=$B237)*($D$6:$D237="Capital Call"))=1,"Initial","Ongoing"),"")</f>
        <v/>
      </c>
    </row>
    <row r="238" customFormat="false" ht="15" hidden="false" customHeight="true" outlineLevel="0" collapsed="false">
      <c r="A238" s="53"/>
      <c r="B238" s="54"/>
      <c r="C238" s="54"/>
      <c r="D238" s="54"/>
      <c r="E238" s="55"/>
      <c r="F238" s="42"/>
      <c r="G238" s="56" t="str">
        <f aca="false">IF($D238="Capital Call",IF(SUMPRODUCT(($B$6:$B238=$B238)*($D$6:$D238="Capital Call"))=1,"Initial","Ongoing"),"")</f>
        <v/>
      </c>
    </row>
    <row r="239" customFormat="false" ht="15" hidden="false" customHeight="true" outlineLevel="0" collapsed="false">
      <c r="A239" s="53"/>
      <c r="B239" s="54"/>
      <c r="C239" s="54"/>
      <c r="D239" s="54"/>
      <c r="E239" s="55"/>
      <c r="F239" s="42"/>
      <c r="G239" s="56" t="str">
        <f aca="false">IF($D239="Capital Call",IF(SUMPRODUCT(($B$6:$B239=$B239)*($D$6:$D239="Capital Call"))=1,"Initial","Ongoing"),"")</f>
        <v/>
      </c>
    </row>
    <row r="240" customFormat="false" ht="15" hidden="false" customHeight="true" outlineLevel="0" collapsed="false">
      <c r="A240" s="53"/>
      <c r="B240" s="54"/>
      <c r="C240" s="54"/>
      <c r="D240" s="54"/>
      <c r="E240" s="55"/>
      <c r="F240" s="42"/>
      <c r="G240" s="56" t="str">
        <f aca="false">IF($D240="Capital Call",IF(SUMPRODUCT(($B$6:$B240=$B240)*($D$6:$D240="Capital Call"))=1,"Initial","Ongoing"),"")</f>
        <v/>
      </c>
    </row>
    <row r="241" customFormat="false" ht="15" hidden="false" customHeight="true" outlineLevel="0" collapsed="false">
      <c r="A241" s="53"/>
      <c r="B241" s="54"/>
      <c r="C241" s="54"/>
      <c r="D241" s="54"/>
      <c r="E241" s="55"/>
      <c r="F241" s="42"/>
      <c r="G241" s="56" t="str">
        <f aca="false">IF($D241="Capital Call",IF(SUMPRODUCT(($B$6:$B241=$B241)*($D$6:$D241="Capital Call"))=1,"Initial","Ongoing"),"")</f>
        <v/>
      </c>
    </row>
    <row r="242" customFormat="false" ht="15" hidden="false" customHeight="true" outlineLevel="0" collapsed="false">
      <c r="A242" s="53"/>
      <c r="B242" s="54"/>
      <c r="C242" s="54"/>
      <c r="D242" s="54"/>
      <c r="E242" s="55"/>
      <c r="F242" s="42"/>
      <c r="G242" s="56" t="str">
        <f aca="false">IF($D242="Capital Call",IF(SUMPRODUCT(($B$6:$B242=$B242)*($D$6:$D242="Capital Call"))=1,"Initial","Ongoing"),"")</f>
        <v/>
      </c>
    </row>
    <row r="243" customFormat="false" ht="15" hidden="false" customHeight="true" outlineLevel="0" collapsed="false">
      <c r="A243" s="53"/>
      <c r="B243" s="54"/>
      <c r="C243" s="54"/>
      <c r="D243" s="54"/>
      <c r="E243" s="55"/>
      <c r="F243" s="42"/>
      <c r="G243" s="56" t="str">
        <f aca="false">IF($D243="Capital Call",IF(SUMPRODUCT(($B$6:$B243=$B243)*($D$6:$D243="Capital Call"))=1,"Initial","Ongoing"),"")</f>
        <v/>
      </c>
    </row>
    <row r="244" customFormat="false" ht="15" hidden="false" customHeight="true" outlineLevel="0" collapsed="false">
      <c r="A244" s="53"/>
      <c r="B244" s="54"/>
      <c r="C244" s="54"/>
      <c r="D244" s="54"/>
      <c r="E244" s="55"/>
      <c r="F244" s="42"/>
      <c r="G244" s="56" t="str">
        <f aca="false">IF($D244="Capital Call",IF(SUMPRODUCT(($B$6:$B244=$B244)*($D$6:$D244="Capital Call"))=1,"Initial","Ongoing"),"")</f>
        <v/>
      </c>
    </row>
    <row r="245" customFormat="false" ht="15" hidden="false" customHeight="true" outlineLevel="0" collapsed="false">
      <c r="A245" s="53"/>
      <c r="B245" s="54"/>
      <c r="C245" s="54"/>
      <c r="D245" s="54"/>
      <c r="E245" s="55"/>
      <c r="F245" s="42"/>
      <c r="G245" s="56" t="str">
        <f aca="false">IF($D245="Capital Call",IF(SUMPRODUCT(($B$6:$B245=$B245)*($D$6:$D245="Capital Call"))=1,"Initial","Ongoing"),"")</f>
        <v/>
      </c>
    </row>
    <row r="246" customFormat="false" ht="15" hidden="false" customHeight="true" outlineLevel="0" collapsed="false">
      <c r="A246" s="53"/>
      <c r="B246" s="54"/>
      <c r="C246" s="54"/>
      <c r="D246" s="54"/>
      <c r="E246" s="55"/>
      <c r="F246" s="42"/>
      <c r="G246" s="56" t="str">
        <f aca="false">IF($D246="Capital Call",IF(SUMPRODUCT(($B$6:$B246=$B246)*($D$6:$D246="Capital Call"))=1,"Initial","Ongoing"),"")</f>
        <v/>
      </c>
    </row>
    <row r="247" customFormat="false" ht="15" hidden="false" customHeight="true" outlineLevel="0" collapsed="false">
      <c r="A247" s="53"/>
      <c r="B247" s="54"/>
      <c r="C247" s="54"/>
      <c r="D247" s="54"/>
      <c r="E247" s="55"/>
      <c r="F247" s="42"/>
      <c r="G247" s="56" t="str">
        <f aca="false">IF($D247="Capital Call",IF(SUMPRODUCT(($B$6:$B247=$B247)*($D$6:$D247="Capital Call"))=1,"Initial","Ongoing"),"")</f>
        <v/>
      </c>
    </row>
    <row r="248" customFormat="false" ht="15" hidden="false" customHeight="true" outlineLevel="0" collapsed="false">
      <c r="A248" s="53"/>
      <c r="B248" s="54"/>
      <c r="C248" s="54"/>
      <c r="D248" s="54"/>
      <c r="E248" s="55"/>
      <c r="F248" s="42"/>
      <c r="G248" s="56" t="str">
        <f aca="false">IF($D248="Capital Call",IF(SUMPRODUCT(($B$6:$B248=$B248)*($D$6:$D248="Capital Call"))=1,"Initial","Ongoing"),"")</f>
        <v/>
      </c>
    </row>
    <row r="249" customFormat="false" ht="15" hidden="false" customHeight="true" outlineLevel="0" collapsed="false">
      <c r="A249" s="53"/>
      <c r="B249" s="54"/>
      <c r="C249" s="54"/>
      <c r="D249" s="54"/>
      <c r="E249" s="55"/>
      <c r="F249" s="42"/>
      <c r="G249" s="56" t="str">
        <f aca="false">IF($D249="Capital Call",IF(SUMPRODUCT(($B$6:$B249=$B249)*($D$6:$D249="Capital Call"))=1,"Initial","Ongoing"),"")</f>
        <v/>
      </c>
    </row>
    <row r="250" customFormat="false" ht="15" hidden="false" customHeight="true" outlineLevel="0" collapsed="false">
      <c r="A250" s="53"/>
      <c r="B250" s="54"/>
      <c r="C250" s="54"/>
      <c r="D250" s="54"/>
      <c r="E250" s="55"/>
      <c r="F250" s="42"/>
      <c r="G250" s="56" t="str">
        <f aca="false">IF($D250="Capital Call",IF(SUMPRODUCT(($B$6:$B250=$B250)*($D$6:$D250="Capital Call"))=1,"Initial","Ongoing"),"")</f>
        <v/>
      </c>
    </row>
    <row r="251" customFormat="false" ht="15" hidden="false" customHeight="true" outlineLevel="0" collapsed="false">
      <c r="A251" s="53"/>
      <c r="B251" s="54"/>
      <c r="C251" s="54"/>
      <c r="D251" s="54"/>
      <c r="E251" s="55"/>
      <c r="F251" s="42"/>
      <c r="G251" s="56" t="str">
        <f aca="false">IF($D251="Capital Call",IF(SUMPRODUCT(($B$6:$B251=$B251)*($D$6:$D251="Capital Call"))=1,"Initial","Ongoing"),"")</f>
        <v/>
      </c>
    </row>
    <row r="252" customFormat="false" ht="15" hidden="false" customHeight="true" outlineLevel="0" collapsed="false">
      <c r="A252" s="53"/>
      <c r="B252" s="54"/>
      <c r="C252" s="54"/>
      <c r="D252" s="54"/>
      <c r="E252" s="55"/>
      <c r="F252" s="42"/>
      <c r="G252" s="56" t="str">
        <f aca="false">IF($D252="Capital Call",IF(SUMPRODUCT(($B$6:$B252=$B252)*($D$6:$D252="Capital Call"))=1,"Initial","Ongoing"),"")</f>
        <v/>
      </c>
    </row>
    <row r="253" customFormat="false" ht="15" hidden="false" customHeight="true" outlineLevel="0" collapsed="false">
      <c r="A253" s="53"/>
      <c r="B253" s="54"/>
      <c r="C253" s="54"/>
      <c r="D253" s="54"/>
      <c r="E253" s="55"/>
      <c r="F253" s="42"/>
      <c r="G253" s="56" t="str">
        <f aca="false">IF($D253="Capital Call",IF(SUMPRODUCT(($B$6:$B253=$B253)*($D$6:$D253="Capital Call"))=1,"Initial","Ongoing"),"")</f>
        <v/>
      </c>
    </row>
    <row r="254" customFormat="false" ht="15" hidden="false" customHeight="true" outlineLevel="0" collapsed="false">
      <c r="A254" s="53"/>
      <c r="B254" s="54"/>
      <c r="C254" s="54"/>
      <c r="D254" s="54"/>
      <c r="E254" s="55"/>
      <c r="F254" s="42"/>
      <c r="G254" s="56" t="str">
        <f aca="false">IF($D254="Capital Call",IF(SUMPRODUCT(($B$6:$B254=$B254)*($D$6:$D254="Capital Call"))=1,"Initial","Ongoing"),"")</f>
        <v/>
      </c>
    </row>
    <row r="255" customFormat="false" ht="15" hidden="false" customHeight="true" outlineLevel="0" collapsed="false">
      <c r="A255" s="53"/>
      <c r="B255" s="54"/>
      <c r="C255" s="54"/>
      <c r="D255" s="54"/>
      <c r="E255" s="55"/>
      <c r="F255" s="42"/>
      <c r="G255" s="56" t="str">
        <f aca="false">IF($D255="Capital Call",IF(SUMPRODUCT(($B$6:$B255=$B255)*($D$6:$D255="Capital Call"))=1,"Initial","Ongoing"),"")</f>
        <v/>
      </c>
    </row>
    <row r="256" customFormat="false" ht="15" hidden="false" customHeight="true" outlineLevel="0" collapsed="false">
      <c r="A256" s="53"/>
      <c r="B256" s="54"/>
      <c r="C256" s="54"/>
      <c r="D256" s="54"/>
      <c r="E256" s="55"/>
      <c r="F256" s="42"/>
      <c r="G256" s="56" t="str">
        <f aca="false">IF($D256="Capital Call",IF(SUMPRODUCT(($B$6:$B256=$B256)*($D$6:$D256="Capital Call"))=1,"Initial","Ongoing"),"")</f>
        <v/>
      </c>
    </row>
    <row r="257" customFormat="false" ht="15" hidden="false" customHeight="true" outlineLevel="0" collapsed="false">
      <c r="A257" s="53"/>
      <c r="B257" s="54"/>
      <c r="C257" s="54"/>
      <c r="D257" s="54"/>
      <c r="E257" s="55"/>
      <c r="F257" s="42"/>
      <c r="G257" s="56" t="str">
        <f aca="false">IF($D257="Capital Call",IF(SUMPRODUCT(($B$6:$B257=$B257)*($D$6:$D257="Capital Call"))=1,"Initial","Ongoing"),"")</f>
        <v/>
      </c>
    </row>
    <row r="258" customFormat="false" ht="15" hidden="false" customHeight="true" outlineLevel="0" collapsed="false">
      <c r="A258" s="53"/>
      <c r="B258" s="54"/>
      <c r="C258" s="54"/>
      <c r="D258" s="54"/>
      <c r="E258" s="55"/>
      <c r="F258" s="42"/>
      <c r="G258" s="56" t="str">
        <f aca="false">IF($D258="Capital Call",IF(SUMPRODUCT(($B$6:$B258=$B258)*($D$6:$D258="Capital Call"))=1,"Initial","Ongoing"),"")</f>
        <v/>
      </c>
    </row>
    <row r="259" customFormat="false" ht="15" hidden="false" customHeight="true" outlineLevel="0" collapsed="false">
      <c r="A259" s="53"/>
      <c r="B259" s="54"/>
      <c r="C259" s="54"/>
      <c r="D259" s="54"/>
      <c r="E259" s="55"/>
      <c r="F259" s="42"/>
      <c r="G259" s="56" t="str">
        <f aca="false">IF($D259="Capital Call",IF(SUMPRODUCT(($B$6:$B259=$B259)*($D$6:$D259="Capital Call"))=1,"Initial","Ongoing"),"")</f>
        <v/>
      </c>
    </row>
    <row r="260" customFormat="false" ht="15" hidden="false" customHeight="true" outlineLevel="0" collapsed="false">
      <c r="A260" s="53"/>
      <c r="B260" s="54"/>
      <c r="C260" s="54"/>
      <c r="D260" s="54"/>
      <c r="E260" s="55"/>
      <c r="F260" s="42"/>
      <c r="G260" s="56" t="str">
        <f aca="false">IF($D260="Capital Call",IF(SUMPRODUCT(($B$6:$B260=$B260)*($D$6:$D260="Capital Call"))=1,"Initial","Ongoing"),"")</f>
        <v/>
      </c>
    </row>
    <row r="261" customFormat="false" ht="15" hidden="false" customHeight="true" outlineLevel="0" collapsed="false">
      <c r="A261" s="53"/>
      <c r="B261" s="54"/>
      <c r="C261" s="54"/>
      <c r="D261" s="54"/>
      <c r="E261" s="55"/>
      <c r="F261" s="42"/>
      <c r="G261" s="56" t="str">
        <f aca="false">IF($D261="Capital Call",IF(SUMPRODUCT(($B$6:$B261=$B261)*($D$6:$D261="Capital Call"))=1,"Initial","Ongoing"),"")</f>
        <v/>
      </c>
    </row>
    <row r="262" customFormat="false" ht="15" hidden="false" customHeight="true" outlineLevel="0" collapsed="false">
      <c r="A262" s="53"/>
      <c r="B262" s="54"/>
      <c r="C262" s="54"/>
      <c r="D262" s="54"/>
      <c r="E262" s="55"/>
      <c r="F262" s="42"/>
      <c r="G262" s="56" t="str">
        <f aca="false">IF($D262="Capital Call",IF(SUMPRODUCT(($B$6:$B262=$B262)*($D$6:$D262="Capital Call"))=1,"Initial","Ongoing"),"")</f>
        <v/>
      </c>
    </row>
    <row r="263" customFormat="false" ht="15" hidden="false" customHeight="true" outlineLevel="0" collapsed="false">
      <c r="A263" s="53"/>
      <c r="B263" s="54"/>
      <c r="C263" s="54"/>
      <c r="D263" s="54"/>
      <c r="E263" s="55"/>
      <c r="F263" s="42"/>
      <c r="G263" s="56" t="str">
        <f aca="false">IF($D263="Capital Call",IF(SUMPRODUCT(($B$6:$B263=$B263)*($D$6:$D263="Capital Call"))=1,"Initial","Ongoing"),"")</f>
        <v/>
      </c>
    </row>
    <row r="264" customFormat="false" ht="15" hidden="false" customHeight="true" outlineLevel="0" collapsed="false">
      <c r="A264" s="53"/>
      <c r="B264" s="54"/>
      <c r="C264" s="54"/>
      <c r="D264" s="54"/>
      <c r="E264" s="55"/>
      <c r="F264" s="42"/>
      <c r="G264" s="56" t="str">
        <f aca="false">IF($D264="Capital Call",IF(SUMPRODUCT(($B$6:$B264=$B264)*($D$6:$D264="Capital Call"))=1,"Initial","Ongoing"),"")</f>
        <v/>
      </c>
    </row>
    <row r="265" customFormat="false" ht="15" hidden="false" customHeight="true" outlineLevel="0" collapsed="false">
      <c r="A265" s="53"/>
      <c r="B265" s="54"/>
      <c r="C265" s="54"/>
      <c r="D265" s="54"/>
      <c r="E265" s="55"/>
      <c r="F265" s="42"/>
      <c r="G265" s="56" t="str">
        <f aca="false">IF($D265="Capital Call",IF(SUMPRODUCT(($B$6:$B265=$B265)*($D$6:$D265="Capital Call"))=1,"Initial","Ongoing"),"")</f>
        <v/>
      </c>
    </row>
    <row r="266" customFormat="false" ht="15" hidden="false" customHeight="true" outlineLevel="0" collapsed="false">
      <c r="A266" s="53"/>
      <c r="B266" s="54"/>
      <c r="C266" s="54"/>
      <c r="D266" s="54"/>
      <c r="E266" s="55"/>
      <c r="F266" s="42"/>
      <c r="G266" s="56" t="str">
        <f aca="false">IF($D266="Capital Call",IF(SUMPRODUCT(($B$6:$B266=$B266)*($D$6:$D266="Capital Call"))=1,"Initial","Ongoing"),"")</f>
        <v/>
      </c>
    </row>
    <row r="267" customFormat="false" ht="15" hidden="false" customHeight="true" outlineLevel="0" collapsed="false">
      <c r="A267" s="53"/>
      <c r="B267" s="54"/>
      <c r="C267" s="54"/>
      <c r="D267" s="54"/>
      <c r="E267" s="55"/>
      <c r="F267" s="42"/>
      <c r="G267" s="56" t="str">
        <f aca="false">IF($D267="Capital Call",IF(SUMPRODUCT(($B$6:$B267=$B267)*($D$6:$D267="Capital Call"))=1,"Initial","Ongoing"),"")</f>
        <v/>
      </c>
    </row>
    <row r="268" customFormat="false" ht="15" hidden="false" customHeight="true" outlineLevel="0" collapsed="false">
      <c r="A268" s="53"/>
      <c r="B268" s="54"/>
      <c r="C268" s="54"/>
      <c r="D268" s="54"/>
      <c r="E268" s="55"/>
      <c r="F268" s="42"/>
      <c r="G268" s="56" t="str">
        <f aca="false">IF($D268="Capital Call",IF(SUMPRODUCT(($B$6:$B268=$B268)*($D$6:$D268="Capital Call"))=1,"Initial","Ongoing"),"")</f>
        <v/>
      </c>
    </row>
    <row r="269" customFormat="false" ht="15" hidden="false" customHeight="true" outlineLevel="0" collapsed="false">
      <c r="A269" s="53"/>
      <c r="B269" s="54"/>
      <c r="C269" s="54"/>
      <c r="D269" s="54"/>
      <c r="E269" s="55"/>
      <c r="F269" s="42"/>
      <c r="G269" s="56" t="str">
        <f aca="false">IF($D269="Capital Call",IF(SUMPRODUCT(($B$6:$B269=$B269)*($D$6:$D269="Capital Call"))=1,"Initial","Ongoing"),"")</f>
        <v/>
      </c>
    </row>
    <row r="270" customFormat="false" ht="15" hidden="false" customHeight="true" outlineLevel="0" collapsed="false">
      <c r="A270" s="53"/>
      <c r="B270" s="54"/>
      <c r="C270" s="54"/>
      <c r="D270" s="54"/>
      <c r="E270" s="55"/>
      <c r="F270" s="42"/>
      <c r="G270" s="56" t="str">
        <f aca="false">IF($D270="Capital Call",IF(SUMPRODUCT(($B$6:$B270=$B270)*($D$6:$D270="Capital Call"))=1,"Initial","Ongoing"),"")</f>
        <v/>
      </c>
    </row>
    <row r="271" customFormat="false" ht="15" hidden="false" customHeight="true" outlineLevel="0" collapsed="false">
      <c r="A271" s="53"/>
      <c r="B271" s="54"/>
      <c r="C271" s="54"/>
      <c r="D271" s="54"/>
      <c r="E271" s="55"/>
      <c r="F271" s="42"/>
      <c r="G271" s="56" t="str">
        <f aca="false">IF($D271="Capital Call",IF(SUMPRODUCT(($B$6:$B271=$B271)*($D$6:$D271="Capital Call"))=1,"Initial","Ongoing"),"")</f>
        <v/>
      </c>
    </row>
    <row r="272" customFormat="false" ht="15" hidden="false" customHeight="true" outlineLevel="0" collapsed="false">
      <c r="A272" s="53"/>
      <c r="B272" s="54"/>
      <c r="C272" s="54"/>
      <c r="D272" s="54"/>
      <c r="E272" s="55"/>
      <c r="F272" s="42"/>
      <c r="G272" s="56" t="str">
        <f aca="false">IF($D272="Capital Call",IF(SUMPRODUCT(($B$6:$B272=$B272)*($D$6:$D272="Capital Call"))=1,"Initial","Ongoing"),"")</f>
        <v/>
      </c>
    </row>
    <row r="273" customFormat="false" ht="15" hidden="false" customHeight="true" outlineLevel="0" collapsed="false">
      <c r="A273" s="53"/>
      <c r="B273" s="54"/>
      <c r="C273" s="54"/>
      <c r="D273" s="54"/>
      <c r="E273" s="55"/>
      <c r="F273" s="42"/>
      <c r="G273" s="56" t="str">
        <f aca="false">IF($D273="Capital Call",IF(SUMPRODUCT(($B$6:$B273=$B273)*($D$6:$D273="Capital Call"))=1,"Initial","Ongoing"),"")</f>
        <v/>
      </c>
    </row>
    <row r="274" customFormat="false" ht="15" hidden="false" customHeight="true" outlineLevel="0" collapsed="false">
      <c r="A274" s="53"/>
      <c r="B274" s="54"/>
      <c r="C274" s="54"/>
      <c r="D274" s="54"/>
      <c r="E274" s="55"/>
      <c r="F274" s="42"/>
      <c r="G274" s="56" t="str">
        <f aca="false">IF($D274="Capital Call",IF(SUMPRODUCT(($B$6:$B274=$B274)*($D$6:$D274="Capital Call"))=1,"Initial","Ongoing"),"")</f>
        <v/>
      </c>
    </row>
    <row r="275" customFormat="false" ht="15" hidden="false" customHeight="true" outlineLevel="0" collapsed="false">
      <c r="A275" s="53"/>
      <c r="B275" s="54"/>
      <c r="C275" s="54"/>
      <c r="D275" s="54"/>
      <c r="E275" s="55"/>
      <c r="F275" s="42"/>
      <c r="G275" s="56" t="str">
        <f aca="false">IF($D275="Capital Call",IF(SUMPRODUCT(($B$6:$B275=$B275)*($D$6:$D275="Capital Call"))=1,"Initial","Ongoing"),"")</f>
        <v/>
      </c>
    </row>
    <row r="276" customFormat="false" ht="15" hidden="false" customHeight="true" outlineLevel="0" collapsed="false">
      <c r="A276" s="53"/>
      <c r="B276" s="54"/>
      <c r="C276" s="54"/>
      <c r="D276" s="54"/>
      <c r="E276" s="55"/>
      <c r="F276" s="42"/>
      <c r="G276" s="56" t="str">
        <f aca="false">IF($D276="Capital Call",IF(SUMPRODUCT(($B$6:$B276=$B276)*($D$6:$D276="Capital Call"))=1,"Initial","Ongoing"),"")</f>
        <v/>
      </c>
    </row>
    <row r="277" customFormat="false" ht="15" hidden="false" customHeight="true" outlineLevel="0" collapsed="false">
      <c r="A277" s="53"/>
      <c r="B277" s="54"/>
      <c r="C277" s="54"/>
      <c r="D277" s="54"/>
      <c r="E277" s="55"/>
      <c r="F277" s="42"/>
      <c r="G277" s="56" t="str">
        <f aca="false">IF($D277="Capital Call",IF(SUMPRODUCT(($B$6:$B277=$B277)*($D$6:$D277="Capital Call"))=1,"Initial","Ongoing"),"")</f>
        <v/>
      </c>
    </row>
    <row r="278" customFormat="false" ht="15" hidden="false" customHeight="true" outlineLevel="0" collapsed="false">
      <c r="A278" s="53"/>
      <c r="B278" s="54"/>
      <c r="C278" s="54"/>
      <c r="D278" s="54"/>
      <c r="E278" s="55"/>
      <c r="F278" s="42"/>
      <c r="G278" s="56" t="str">
        <f aca="false">IF($D278="Capital Call",IF(SUMPRODUCT(($B$6:$B278=$B278)*($D$6:$D278="Capital Call"))=1,"Initial","Ongoing"),"")</f>
        <v/>
      </c>
    </row>
    <row r="279" customFormat="false" ht="15" hidden="false" customHeight="true" outlineLevel="0" collapsed="false">
      <c r="A279" s="53"/>
      <c r="B279" s="54"/>
      <c r="C279" s="54"/>
      <c r="D279" s="54"/>
      <c r="E279" s="55"/>
      <c r="F279" s="42"/>
      <c r="G279" s="56" t="str">
        <f aca="false">IF($D279="Capital Call",IF(SUMPRODUCT(($B$6:$B279=$B279)*($D$6:$D279="Capital Call"))=1,"Initial","Ongoing"),"")</f>
        <v/>
      </c>
    </row>
    <row r="280" customFormat="false" ht="15" hidden="false" customHeight="true" outlineLevel="0" collapsed="false">
      <c r="A280" s="53"/>
      <c r="B280" s="54"/>
      <c r="C280" s="54"/>
      <c r="D280" s="54"/>
      <c r="E280" s="55"/>
      <c r="F280" s="42"/>
      <c r="G280" s="56" t="str">
        <f aca="false">IF($D280="Capital Call",IF(SUMPRODUCT(($B$6:$B280=$B280)*($D$6:$D280="Capital Call"))=1,"Initial","Ongoing"),"")</f>
        <v/>
      </c>
    </row>
    <row r="281" customFormat="false" ht="15" hidden="false" customHeight="true" outlineLevel="0" collapsed="false">
      <c r="A281" s="53"/>
      <c r="B281" s="54"/>
      <c r="C281" s="54"/>
      <c r="D281" s="54"/>
      <c r="E281" s="55"/>
      <c r="F281" s="42"/>
      <c r="G281" s="56" t="str">
        <f aca="false">IF($D281="Capital Call",IF(SUMPRODUCT(($B$6:$B281=$B281)*($D$6:$D281="Capital Call"))=1,"Initial","Ongoing"),"")</f>
        <v/>
      </c>
    </row>
    <row r="282" customFormat="false" ht="15" hidden="false" customHeight="true" outlineLevel="0" collapsed="false">
      <c r="A282" s="53"/>
      <c r="B282" s="54"/>
      <c r="C282" s="54"/>
      <c r="D282" s="54"/>
      <c r="E282" s="55"/>
      <c r="F282" s="42"/>
      <c r="G282" s="56" t="str">
        <f aca="false">IF($D282="Capital Call",IF(SUMPRODUCT(($B$6:$B282=$B282)*($D$6:$D282="Capital Call"))=1,"Initial","Ongoing"),"")</f>
        <v/>
      </c>
    </row>
    <row r="283" customFormat="false" ht="15" hidden="false" customHeight="true" outlineLevel="0" collapsed="false">
      <c r="A283" s="53"/>
      <c r="B283" s="54"/>
      <c r="C283" s="54"/>
      <c r="D283" s="54"/>
      <c r="E283" s="55"/>
      <c r="F283" s="42"/>
      <c r="G283" s="56" t="str">
        <f aca="false">IF($D283="Capital Call",IF(SUMPRODUCT(($B$6:$B283=$B283)*($D$6:$D283="Capital Call"))=1,"Initial","Ongoing"),"")</f>
        <v/>
      </c>
    </row>
    <row r="284" customFormat="false" ht="15" hidden="false" customHeight="true" outlineLevel="0" collapsed="false">
      <c r="A284" s="53"/>
      <c r="B284" s="54"/>
      <c r="C284" s="54"/>
      <c r="D284" s="54"/>
      <c r="E284" s="55"/>
      <c r="F284" s="42"/>
      <c r="G284" s="56" t="str">
        <f aca="false">IF($D284="Capital Call",IF(SUMPRODUCT(($B$6:$B284=$B284)*($D$6:$D284="Capital Call"))=1,"Initial","Ongoing"),"")</f>
        <v/>
      </c>
    </row>
    <row r="285" customFormat="false" ht="15" hidden="false" customHeight="true" outlineLevel="0" collapsed="false">
      <c r="A285" s="53"/>
      <c r="B285" s="54"/>
      <c r="C285" s="54"/>
      <c r="D285" s="54"/>
      <c r="E285" s="55"/>
      <c r="F285" s="42"/>
      <c r="G285" s="56" t="str">
        <f aca="false">IF($D285="Capital Call",IF(SUMPRODUCT(($B$6:$B285=$B285)*($D$6:$D285="Capital Call"))=1,"Initial","Ongoing"),"")</f>
        <v/>
      </c>
    </row>
    <row r="286" customFormat="false" ht="15" hidden="false" customHeight="true" outlineLevel="0" collapsed="false">
      <c r="A286" s="53"/>
      <c r="B286" s="54"/>
      <c r="C286" s="54"/>
      <c r="D286" s="54"/>
      <c r="E286" s="55"/>
      <c r="F286" s="42"/>
      <c r="G286" s="56" t="str">
        <f aca="false">IF($D286="Capital Call",IF(SUMPRODUCT(($B$6:$B286=$B286)*($D$6:$D286="Capital Call"))=1,"Initial","Ongoing"),"")</f>
        <v/>
      </c>
    </row>
    <row r="287" customFormat="false" ht="15" hidden="false" customHeight="true" outlineLevel="0" collapsed="false">
      <c r="A287" s="53"/>
      <c r="B287" s="54"/>
      <c r="C287" s="54"/>
      <c r="D287" s="54"/>
      <c r="E287" s="55"/>
      <c r="F287" s="42"/>
      <c r="G287" s="56" t="str">
        <f aca="false">IF($D287="Capital Call",IF(SUMPRODUCT(($B$6:$B287=$B287)*($D$6:$D287="Capital Call"))=1,"Initial","Ongoing"),"")</f>
        <v/>
      </c>
    </row>
    <row r="288" customFormat="false" ht="15" hidden="false" customHeight="true" outlineLevel="0" collapsed="false">
      <c r="A288" s="53"/>
      <c r="B288" s="54"/>
      <c r="C288" s="54"/>
      <c r="D288" s="54"/>
      <c r="E288" s="55"/>
      <c r="F288" s="42"/>
      <c r="G288" s="56" t="str">
        <f aca="false">IF($D288="Capital Call",IF(SUMPRODUCT(($B$6:$B288=$B288)*($D$6:$D288="Capital Call"))=1,"Initial","Ongoing"),"")</f>
        <v/>
      </c>
    </row>
    <row r="289" customFormat="false" ht="15" hidden="false" customHeight="true" outlineLevel="0" collapsed="false">
      <c r="A289" s="53"/>
      <c r="B289" s="54"/>
      <c r="C289" s="54"/>
      <c r="D289" s="54"/>
      <c r="E289" s="55"/>
      <c r="F289" s="42"/>
      <c r="G289" s="56" t="str">
        <f aca="false">IF($D289="Capital Call",IF(SUMPRODUCT(($B$6:$B289=$B289)*($D$6:$D289="Capital Call"))=1,"Initial","Ongoing"),"")</f>
        <v/>
      </c>
    </row>
    <row r="290" customFormat="false" ht="15" hidden="false" customHeight="true" outlineLevel="0" collapsed="false">
      <c r="A290" s="53"/>
      <c r="B290" s="54"/>
      <c r="C290" s="54"/>
      <c r="D290" s="54"/>
      <c r="E290" s="55"/>
      <c r="F290" s="42"/>
      <c r="G290" s="56" t="str">
        <f aca="false">IF($D290="Capital Call",IF(SUMPRODUCT(($B$6:$B290=$B290)*($D$6:$D290="Capital Call"))=1,"Initial","Ongoing"),"")</f>
        <v/>
      </c>
    </row>
    <row r="291" customFormat="false" ht="15" hidden="false" customHeight="true" outlineLevel="0" collapsed="false">
      <c r="A291" s="53"/>
      <c r="B291" s="54"/>
      <c r="C291" s="54"/>
      <c r="D291" s="54"/>
      <c r="E291" s="55"/>
      <c r="F291" s="42"/>
      <c r="G291" s="56" t="str">
        <f aca="false">IF($D291="Capital Call",IF(SUMPRODUCT(($B$6:$B291=$B291)*($D$6:$D291="Capital Call"))=1,"Initial","Ongoing"),"")</f>
        <v/>
      </c>
    </row>
    <row r="292" customFormat="false" ht="15" hidden="false" customHeight="true" outlineLevel="0" collapsed="false">
      <c r="A292" s="53"/>
      <c r="B292" s="54"/>
      <c r="C292" s="54"/>
      <c r="D292" s="54"/>
      <c r="E292" s="55"/>
      <c r="F292" s="42"/>
      <c r="G292" s="56" t="str">
        <f aca="false">IF($D292="Capital Call",IF(SUMPRODUCT(($B$6:$B292=$B292)*($D$6:$D292="Capital Call"))=1,"Initial","Ongoing"),"")</f>
        <v/>
      </c>
    </row>
    <row r="293" customFormat="false" ht="15" hidden="false" customHeight="true" outlineLevel="0" collapsed="false">
      <c r="A293" s="53"/>
      <c r="B293" s="54"/>
      <c r="C293" s="54"/>
      <c r="D293" s="54"/>
      <c r="E293" s="55"/>
      <c r="F293" s="42"/>
      <c r="G293" s="56" t="str">
        <f aca="false">IF($D293="Capital Call",IF(SUMPRODUCT(($B$6:$B293=$B293)*($D$6:$D293="Capital Call"))=1,"Initial","Ongoing"),"")</f>
        <v/>
      </c>
    </row>
    <row r="294" customFormat="false" ht="15" hidden="false" customHeight="true" outlineLevel="0" collapsed="false">
      <c r="A294" s="53"/>
      <c r="B294" s="54"/>
      <c r="C294" s="54"/>
      <c r="D294" s="54"/>
      <c r="E294" s="55"/>
      <c r="F294" s="42"/>
      <c r="G294" s="56" t="str">
        <f aca="false">IF($D294="Capital Call",IF(SUMPRODUCT(($B$6:$B294=$B294)*($D$6:$D294="Capital Call"))=1,"Initial","Ongoing"),"")</f>
        <v/>
      </c>
    </row>
    <row r="295" customFormat="false" ht="15" hidden="false" customHeight="true" outlineLevel="0" collapsed="false">
      <c r="A295" s="53"/>
      <c r="B295" s="54"/>
      <c r="C295" s="54"/>
      <c r="D295" s="54"/>
      <c r="E295" s="55"/>
      <c r="F295" s="42"/>
      <c r="G295" s="56" t="str">
        <f aca="false">IF($D295="Capital Call",IF(SUMPRODUCT(($B$6:$B295=$B295)*($D$6:$D295="Capital Call"))=1,"Initial","Ongoing"),"")</f>
        <v/>
      </c>
    </row>
    <row r="296" customFormat="false" ht="15" hidden="false" customHeight="true" outlineLevel="0" collapsed="false">
      <c r="A296" s="53"/>
      <c r="B296" s="54"/>
      <c r="C296" s="54"/>
      <c r="D296" s="54"/>
      <c r="E296" s="55"/>
      <c r="F296" s="42"/>
      <c r="G296" s="56" t="str">
        <f aca="false">IF($D296="Capital Call",IF(SUMPRODUCT(($B$6:$B296=$B296)*($D$6:$D296="Capital Call"))=1,"Initial","Ongoing"),"")</f>
        <v/>
      </c>
    </row>
    <row r="297" customFormat="false" ht="15" hidden="false" customHeight="true" outlineLevel="0" collapsed="false">
      <c r="A297" s="53"/>
      <c r="B297" s="54"/>
      <c r="C297" s="54"/>
      <c r="D297" s="54"/>
      <c r="E297" s="55"/>
      <c r="F297" s="42"/>
      <c r="G297" s="56" t="str">
        <f aca="false">IF($D297="Capital Call",IF(SUMPRODUCT(($B$6:$B297=$B297)*($D$6:$D297="Capital Call"))=1,"Initial","Ongoing"),"")</f>
        <v/>
      </c>
    </row>
    <row r="298" customFormat="false" ht="15" hidden="false" customHeight="true" outlineLevel="0" collapsed="false">
      <c r="A298" s="53"/>
      <c r="B298" s="54"/>
      <c r="C298" s="54"/>
      <c r="D298" s="54"/>
      <c r="E298" s="55"/>
      <c r="F298" s="42"/>
      <c r="G298" s="56" t="str">
        <f aca="false">IF($D298="Capital Call",IF(SUMPRODUCT(($B$6:$B298=$B298)*($D$6:$D298="Capital Call"))=1,"Initial","Ongoing"),"")</f>
        <v/>
      </c>
    </row>
    <row r="299" customFormat="false" ht="15" hidden="false" customHeight="true" outlineLevel="0" collapsed="false">
      <c r="A299" s="53"/>
      <c r="B299" s="54"/>
      <c r="C299" s="54"/>
      <c r="D299" s="54"/>
      <c r="E299" s="55"/>
      <c r="F299" s="42"/>
      <c r="G299" s="56" t="str">
        <f aca="false">IF($D299="Capital Call",IF(SUMPRODUCT(($B$6:$B299=$B299)*($D$6:$D299="Capital Call"))=1,"Initial","Ongoing"),"")</f>
        <v/>
      </c>
    </row>
    <row r="300" customFormat="false" ht="15" hidden="false" customHeight="true" outlineLevel="0" collapsed="false">
      <c r="A300" s="53"/>
      <c r="B300" s="54"/>
      <c r="C300" s="54"/>
      <c r="D300" s="54"/>
      <c r="E300" s="55"/>
      <c r="F300" s="42"/>
      <c r="G300" s="56" t="str">
        <f aca="false">IF($D300="Capital Call",IF(SUMPRODUCT(($B$6:$B300=$B300)*($D$6:$D300="Capital Call"))=1,"Initial","Ongoing"),"")</f>
        <v/>
      </c>
    </row>
    <row r="301" customFormat="false" ht="15" hidden="false" customHeight="true" outlineLevel="0" collapsed="false">
      <c r="A301" s="53"/>
      <c r="B301" s="54"/>
      <c r="C301" s="54"/>
      <c r="D301" s="54"/>
      <c r="E301" s="55"/>
      <c r="F301" s="42"/>
      <c r="G301" s="56" t="str">
        <f aca="false">IF($D301="Capital Call",IF(SUMPRODUCT(($B$6:$B301=$B301)*($D$6:$D301="Capital Call"))=1,"Initial","Ongoing"),"")</f>
        <v/>
      </c>
    </row>
    <row r="302" customFormat="false" ht="15" hidden="false" customHeight="true" outlineLevel="0" collapsed="false">
      <c r="A302" s="53"/>
      <c r="B302" s="54"/>
      <c r="C302" s="54"/>
      <c r="D302" s="54"/>
      <c r="E302" s="55"/>
      <c r="F302" s="42"/>
      <c r="G302" s="56" t="str">
        <f aca="false">IF($D302="Capital Call",IF(SUMPRODUCT(($B$6:$B302=$B302)*($D$6:$D302="Capital Call"))=1,"Initial","Ongoing"),"")</f>
        <v/>
      </c>
    </row>
    <row r="303" customFormat="false" ht="15" hidden="false" customHeight="true" outlineLevel="0" collapsed="false">
      <c r="A303" s="53"/>
      <c r="B303" s="54"/>
      <c r="C303" s="54"/>
      <c r="D303" s="54"/>
      <c r="E303" s="55"/>
      <c r="F303" s="42"/>
      <c r="G303" s="56" t="str">
        <f aca="false">IF($D303="Capital Call",IF(SUMPRODUCT(($B$6:$B303=$B303)*($D$6:$D303="Capital Call"))=1,"Initial","Ongoing"),"")</f>
        <v/>
      </c>
    </row>
    <row r="304" customFormat="false" ht="15" hidden="false" customHeight="true" outlineLevel="0" collapsed="false">
      <c r="A304" s="53"/>
      <c r="B304" s="54"/>
      <c r="C304" s="54"/>
      <c r="D304" s="54"/>
      <c r="E304" s="55"/>
      <c r="F304" s="42"/>
      <c r="G304" s="56" t="str">
        <f aca="false">IF($D304="Capital Call",IF(SUMPRODUCT(($B$6:$B304=$B304)*($D$6:$D304="Capital Call"))=1,"Initial","Ongoing"),"")</f>
        <v/>
      </c>
    </row>
    <row r="305" customFormat="false" ht="15" hidden="false" customHeight="true" outlineLevel="0" collapsed="false">
      <c r="A305" s="53"/>
      <c r="B305" s="54"/>
      <c r="C305" s="54"/>
      <c r="D305" s="54"/>
      <c r="E305" s="55"/>
      <c r="F305" s="42"/>
      <c r="G305" s="56" t="str">
        <f aca="false">IF($D305="Capital Call",IF(SUMPRODUCT(($B$6:$B305=$B305)*($D$6:$D305="Capital Call"))=1,"Initial","Ongoing"),"")</f>
        <v/>
      </c>
    </row>
    <row r="306" customFormat="false" ht="15" hidden="false" customHeight="true" outlineLevel="0" collapsed="false">
      <c r="A306" s="53"/>
      <c r="B306" s="54"/>
      <c r="C306" s="54"/>
      <c r="D306" s="54"/>
      <c r="E306" s="55"/>
      <c r="F306" s="42"/>
      <c r="G306" s="56" t="str">
        <f aca="false">IF($D306="Capital Call",IF(SUMPRODUCT(($B$6:$B306=$B306)*($D$6:$D306="Capital Call"))=1,"Initial","Ongoing"),"")</f>
        <v/>
      </c>
    </row>
    <row r="307" customFormat="false" ht="15" hidden="false" customHeight="true" outlineLevel="0" collapsed="false">
      <c r="A307" s="53"/>
      <c r="B307" s="54"/>
      <c r="C307" s="54"/>
      <c r="D307" s="54"/>
      <c r="E307" s="55"/>
      <c r="F307" s="42"/>
      <c r="G307" s="56" t="str">
        <f aca="false">IF($D307="Capital Call",IF(SUMPRODUCT(($B$6:$B307=$B307)*($D$6:$D307="Capital Call"))=1,"Initial","Ongoing"),"")</f>
        <v/>
      </c>
    </row>
    <row r="308" customFormat="false" ht="15" hidden="false" customHeight="true" outlineLevel="0" collapsed="false">
      <c r="A308" s="53"/>
      <c r="B308" s="54"/>
      <c r="C308" s="54"/>
      <c r="D308" s="54"/>
      <c r="E308" s="55"/>
      <c r="F308" s="42"/>
      <c r="G308" s="56" t="str">
        <f aca="false">IF($D308="Capital Call",IF(SUMPRODUCT(($B$6:$B308=$B308)*($D$6:$D308="Capital Call"))=1,"Initial","Ongoing"),"")</f>
        <v/>
      </c>
    </row>
    <row r="309" customFormat="false" ht="15" hidden="false" customHeight="true" outlineLevel="0" collapsed="false">
      <c r="A309" s="53"/>
      <c r="B309" s="54"/>
      <c r="C309" s="54"/>
      <c r="D309" s="54"/>
      <c r="E309" s="55"/>
      <c r="F309" s="42"/>
      <c r="G309" s="56" t="str">
        <f aca="false">IF($D309="Capital Call",IF(SUMPRODUCT(($B$6:$B309=$B309)*($D$6:$D309="Capital Call"))=1,"Initial","Ongoing"),"")</f>
        <v/>
      </c>
    </row>
    <row r="310" customFormat="false" ht="15" hidden="false" customHeight="true" outlineLevel="0" collapsed="false">
      <c r="A310" s="61"/>
      <c r="B310" s="62"/>
      <c r="C310" s="62"/>
      <c r="D310" s="62"/>
      <c r="E310" s="63"/>
      <c r="F310" s="62"/>
    </row>
  </sheetData>
  <sheetProtection sheet="true" formatCells="false"/>
  <mergeCells count="4">
    <mergeCell ref="A1:H1"/>
    <mergeCell ref="B2:D2"/>
    <mergeCell ref="E2:G2"/>
    <mergeCell ref="A3:H3"/>
  </mergeCells>
  <dataValidations count="3">
    <dataValidation allowBlank="true" errorStyle="stop" operator="between" showDropDown="false" showErrorMessage="false" showInputMessage="false" sqref="D6:D309" type="list">
      <formula1>Lists!$B$31:$B$35</formula1>
      <formula2>0</formula2>
    </dataValidation>
    <dataValidation allowBlank="true" errorStyle="stop" operator="between" showDropDown="false" showErrorMessage="false" showInputMessage="false" sqref="C6:C309" type="list">
      <formula1>Lists!$B$12:$B$18</formula1>
      <formula2>0</formula2>
    </dataValidation>
    <dataValidation allowBlank="true" errorStyle="stop" operator="between" showDropDown="false" showErrorMessage="false" showInputMessage="false" sqref="B6:B309" type="list">
      <formula1>Investments!$B$7:$B$206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7" activeCellId="0" sqref="A27"/>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6" min="2" style="1" width="14"/>
  </cols>
  <sheetData>
    <row r="1" customFormat="false" ht="21" hidden="false" customHeight="true" outlineLevel="0" collapsed="false">
      <c r="A1" s="15" t="s">
        <v>184</v>
      </c>
    </row>
    <row r="2" customFormat="false" ht="15" hidden="false" customHeight="true" outlineLevel="0" collapsed="false">
      <c r="A2" s="64" t="s">
        <v>185</v>
      </c>
    </row>
    <row r="4" customFormat="false" ht="15" hidden="false" customHeight="true" outlineLevel="0" collapsed="false">
      <c r="A4" s="65" t="s">
        <v>186</v>
      </c>
    </row>
    <row r="6" customFormat="false" ht="30" hidden="false" customHeight="true" outlineLevel="0" collapsed="false">
      <c r="A6" s="66" t="s">
        <v>60</v>
      </c>
      <c r="B6" s="66" t="s">
        <v>187</v>
      </c>
      <c r="C6" s="66" t="s">
        <v>188</v>
      </c>
      <c r="D6" s="66" t="s">
        <v>189</v>
      </c>
      <c r="E6" s="66" t="s">
        <v>190</v>
      </c>
      <c r="F6" s="66" t="s">
        <v>191</v>
      </c>
    </row>
    <row r="7" customFormat="false" ht="15" hidden="false" customHeight="true" outlineLevel="0" collapsed="false">
      <c r="A7" s="67" t="s">
        <v>115</v>
      </c>
      <c r="B7" s="68" t="n">
        <f aca="false">SUMIFS(Investments!$O$7:$O$206,Investments!$D$7:$D$206,$A7,Investments!$J$7:$J$206,IF(Dashboard!$B$6="All","*",Dashboard!$B$6))</f>
        <v>330000</v>
      </c>
      <c r="C7" s="68" t="n">
        <f aca="false">SUMIFS(Investments!$P$7:$P$206,Investments!$D$7:$D$206,$A7,Investments!$J$7:$J$206,IF(Dashboard!$B$6="All","*",Dashboard!$B$6))</f>
        <v>130000</v>
      </c>
      <c r="D7" s="68" t="n">
        <f aca="false">SUMIFS(Investments!$U$7:$U$206,Investments!$D$7:$D$206,$A7,Investments!$J$7:$J$206,IF(Dashboard!$B$6="All","*",Dashboard!$B$6))</f>
        <v>130000</v>
      </c>
      <c r="E7" s="68" t="n">
        <f aca="false">SUMIFS(Investments!$V$7:$V$206,Investments!$D$7:$D$206,$A7,Investments!$J$7:$J$206,IF(Dashboard!$B$6="All","*",Dashboard!$B$6))</f>
        <v>0</v>
      </c>
      <c r="F7" s="69" t="n">
        <f aca="false">IFERROR(($D7+$E7)/$C7,"")</f>
        <v>1</v>
      </c>
    </row>
    <row r="8" customFormat="false" ht="15" hidden="false" customHeight="true" outlineLevel="0" collapsed="false">
      <c r="A8" s="67" t="s">
        <v>106</v>
      </c>
      <c r="B8" s="68" t="n">
        <f aca="false">SUMIFS(Investments!$O$7:$O$206,Investments!$D$7:$D$206,$A8,Investments!$J$7:$J$206,IF(Dashboard!$B$6="All","*",Dashboard!$B$6))</f>
        <v>100000</v>
      </c>
      <c r="C8" s="68" t="n">
        <f aca="false">SUMIFS(Investments!$P$7:$P$206,Investments!$D$7:$D$206,$A8,Investments!$J$7:$J$206,IF(Dashboard!$B$6="All","*",Dashboard!$B$6))</f>
        <v>100000</v>
      </c>
      <c r="D8" s="68" t="n">
        <f aca="false">SUMIFS(Investments!$U$7:$U$206,Investments!$D$7:$D$206,$A8,Investments!$J$7:$J$206,IF(Dashboard!$B$6="All","*",Dashboard!$B$6))</f>
        <v>100000</v>
      </c>
      <c r="E8" s="68" t="n">
        <f aca="false">SUMIFS(Investments!$V$7:$V$206,Investments!$D$7:$D$206,$A8,Investments!$J$7:$J$206,IF(Dashboard!$B$6="All","*",Dashboard!$B$6))</f>
        <v>0</v>
      </c>
      <c r="F8" s="69" t="n">
        <f aca="false">IFERROR(($D8+$E8)/$C8,"")</f>
        <v>1</v>
      </c>
    </row>
    <row r="9" customFormat="false" ht="15" hidden="false" customHeight="true" outlineLevel="0" collapsed="false">
      <c r="A9" s="67" t="s">
        <v>91</v>
      </c>
      <c r="B9" s="68" t="n">
        <f aca="false">SUMIFS(Investments!$O$7:$O$206,Investments!$D$7:$D$206,$A9,Investments!$J$7:$J$206,IF(Dashboard!$B$6="All","*",Dashboard!$B$6))</f>
        <v>100000</v>
      </c>
      <c r="C9" s="68" t="n">
        <f aca="false">SUMIFS(Investments!$P$7:$P$206,Investments!$D$7:$D$206,$A9,Investments!$J$7:$J$206,IF(Dashboard!$B$6="All","*",Dashboard!$B$6))</f>
        <v>100000</v>
      </c>
      <c r="D9" s="68" t="n">
        <f aca="false">SUMIFS(Investments!$U$7:$U$206,Investments!$D$7:$D$206,$A9,Investments!$J$7:$J$206,IF(Dashboard!$B$6="All","*",Dashboard!$B$6))</f>
        <v>100000</v>
      </c>
      <c r="E9" s="68" t="n">
        <f aca="false">SUMIFS(Investments!$V$7:$V$206,Investments!$D$7:$D$206,$A9,Investments!$J$7:$J$206,IF(Dashboard!$B$6="All","*",Dashboard!$B$6))</f>
        <v>0</v>
      </c>
      <c r="F9" s="69" t="n">
        <f aca="false">IFERROR(($D9+$E9)/$C9,"")</f>
        <v>1</v>
      </c>
    </row>
    <row r="10" customFormat="false" ht="15" hidden="false" customHeight="true" outlineLevel="0" collapsed="false">
      <c r="A10" s="67" t="s">
        <v>166</v>
      </c>
      <c r="B10" s="68" t="n">
        <f aca="false">SUMIFS(Investments!$O$7:$O$206,Investments!$D$7:$D$206,$A10,Investments!$J$7:$J$206,IF(Dashboard!$B$6="All","*",Dashboard!$B$6))</f>
        <v>100000</v>
      </c>
      <c r="C10" s="68" t="n">
        <f aca="false">SUMIFS(Investments!$P$7:$P$206,Investments!$D$7:$D$206,$A10,Investments!$J$7:$J$206,IF(Dashboard!$B$6="All","*",Dashboard!$B$6))</f>
        <v>10000</v>
      </c>
      <c r="D10" s="68" t="n">
        <f aca="false">SUMIFS(Investments!$U$7:$U$206,Investments!$D$7:$D$206,$A10,Investments!$J$7:$J$206,IF(Dashboard!$B$6="All","*",Dashboard!$B$6))</f>
        <v>10000</v>
      </c>
      <c r="E10" s="68" t="n">
        <f aca="false">SUMIFS(Investments!$V$7:$V$206,Investments!$D$7:$D$206,$A10,Investments!$J$7:$J$206,IF(Dashboard!$B$6="All","*",Dashboard!$B$6))</f>
        <v>0</v>
      </c>
      <c r="F10" s="69" t="n">
        <f aca="false">IFERROR(($D10+$E10)/$C10,"")</f>
        <v>1</v>
      </c>
    </row>
    <row r="11" customFormat="false" ht="15" hidden="false" customHeight="true" outlineLevel="0" collapsed="false">
      <c r="A11" s="67" t="s">
        <v>192</v>
      </c>
      <c r="B11" s="68" t="n">
        <f aca="false">SUMIFS(Investments!$O$7:$O$206,Investments!$D$7:$D$206,$A11,Investments!$J$7:$J$206,IF(Dashboard!$B$6="All","*",Dashboard!$B$6))</f>
        <v>0</v>
      </c>
      <c r="C11" s="68" t="n">
        <f aca="false">SUMIFS(Investments!$P$7:$P$206,Investments!$D$7:$D$206,$A11,Investments!$J$7:$J$206,IF(Dashboard!$B$6="All","*",Dashboard!$B$6))</f>
        <v>0</v>
      </c>
      <c r="D11" s="68" t="n">
        <f aca="false">SUMIFS(Investments!$U$7:$U$206,Investments!$D$7:$D$206,$A11,Investments!$J$7:$J$206,IF(Dashboard!$B$6="All","*",Dashboard!$B$6))</f>
        <v>0</v>
      </c>
      <c r="E11" s="68" t="n">
        <f aca="false">SUMIFS(Investments!$V$7:$V$206,Investments!$D$7:$D$206,$A11,Investments!$J$7:$J$206,IF(Dashboard!$B$6="All","*",Dashboard!$B$6))</f>
        <v>0</v>
      </c>
      <c r="F11" s="69" t="str">
        <f aca="false">IFERROR(($D11+$E11)/$C11,"")</f>
        <v/>
      </c>
    </row>
    <row r="12" customFormat="false" ht="15" hidden="false" customHeight="true" outlineLevel="0" collapsed="false">
      <c r="A12" s="70" t="s">
        <v>193</v>
      </c>
      <c r="B12" s="71" t="n">
        <f aca="false">SUM(B7:B11)</f>
        <v>630000</v>
      </c>
      <c r="C12" s="71" t="n">
        <f aca="false">SUM(C7:C11)</f>
        <v>340000</v>
      </c>
      <c r="D12" s="71" t="n">
        <f aca="false">SUM(D7:D11)</f>
        <v>340000</v>
      </c>
      <c r="E12" s="71" t="n">
        <f aca="false">SUM(E7:E11)</f>
        <v>0</v>
      </c>
      <c r="F12" s="72" t="n">
        <f aca="false">IFERROR(($D12+$E12)/$C12,"")</f>
        <v>1</v>
      </c>
    </row>
    <row r="14" customFormat="false" ht="15" hidden="false" customHeight="true" outlineLevel="0" collapsed="false">
      <c r="A14" s="65" t="s">
        <v>194</v>
      </c>
    </row>
    <row r="16" customFormat="false" ht="15" hidden="false" customHeight="true" outlineLevel="0" collapsed="false">
      <c r="A16" s="66" t="s">
        <v>66</v>
      </c>
      <c r="B16" s="66" t="s">
        <v>187</v>
      </c>
      <c r="C16" s="66" t="s">
        <v>188</v>
      </c>
      <c r="D16" s="66" t="s">
        <v>189</v>
      </c>
      <c r="E16" s="66" t="s">
        <v>190</v>
      </c>
    </row>
    <row r="17" customFormat="false" ht="15" hidden="false" customHeight="true" outlineLevel="0" collapsed="false">
      <c r="A17" s="67" t="s">
        <v>195</v>
      </c>
      <c r="B17" s="68" t="n">
        <f aca="false">SUMIFS(Investments!$O$7:$O$206,Investments!$J$7:$J$206,$A17)</f>
        <v>0</v>
      </c>
      <c r="C17" s="68" t="n">
        <f aca="false">SUMIFS(Investments!$P$7:$P$206,Investments!$J$7:$J$206,$A17)</f>
        <v>0</v>
      </c>
      <c r="D17" s="68" t="n">
        <f aca="false">SUMIFS(Investments!$U$7:$U$206,Investments!$J$7:$J$206,$A17)</f>
        <v>0</v>
      </c>
      <c r="E17" s="68" t="n">
        <f aca="false">SUMIFS(Investments!$V$7:$V$206,Investments!$J$7:$J$206,$A17)</f>
        <v>0</v>
      </c>
    </row>
    <row r="18" customFormat="false" ht="15" hidden="false" customHeight="true" outlineLevel="0" collapsed="false">
      <c r="A18" s="67" t="s">
        <v>196</v>
      </c>
      <c r="B18" s="68" t="n">
        <f aca="false">SUMIFS(Investments!$O$7:$O$206,Investments!$J$7:$J$206,$A18)</f>
        <v>0</v>
      </c>
      <c r="C18" s="68" t="n">
        <f aca="false">SUMIFS(Investments!$P$7:$P$206,Investments!$J$7:$J$206,$A18)</f>
        <v>0</v>
      </c>
      <c r="D18" s="68" t="n">
        <f aca="false">SUMIFS(Investments!$U$7:$U$206,Investments!$J$7:$J$206,$A18)</f>
        <v>0</v>
      </c>
      <c r="E18" s="68" t="n">
        <f aca="false">SUMIFS(Investments!$V$7:$V$206,Investments!$J$7:$J$206,$A18)</f>
        <v>0</v>
      </c>
    </row>
    <row r="19" customFormat="false" ht="15" hidden="false" customHeight="true" outlineLevel="0" collapsed="false">
      <c r="A19" s="67" t="s">
        <v>197</v>
      </c>
      <c r="B19" s="68" t="n">
        <f aca="false">SUMIFS(Investments!$O$7:$O$206,Investments!$J$7:$J$206,$A19)</f>
        <v>0</v>
      </c>
      <c r="C19" s="68" t="n">
        <f aca="false">SUMIFS(Investments!$P$7:$P$206,Investments!$J$7:$J$206,$A19)</f>
        <v>0</v>
      </c>
      <c r="D19" s="68" t="n">
        <f aca="false">SUMIFS(Investments!$U$7:$U$206,Investments!$J$7:$J$206,$A19)</f>
        <v>0</v>
      </c>
      <c r="E19" s="68" t="n">
        <f aca="false">SUMIFS(Investments!$V$7:$V$206,Investments!$J$7:$J$206,$A19)</f>
        <v>0</v>
      </c>
    </row>
    <row r="20" customFormat="false" ht="15" hidden="false" customHeight="true" outlineLevel="0" collapsed="false">
      <c r="A20" s="67" t="s">
        <v>198</v>
      </c>
      <c r="B20" s="68" t="n">
        <f aca="false">SUMIFS(Investments!$O$7:$O$206,Investments!$J$7:$J$206,$A20)</f>
        <v>0</v>
      </c>
      <c r="C20" s="68" t="n">
        <f aca="false">SUMIFS(Investments!$P$7:$P$206,Investments!$J$7:$J$206,$A20)</f>
        <v>0</v>
      </c>
      <c r="D20" s="68" t="n">
        <f aca="false">SUMIFS(Investments!$U$7:$U$206,Investments!$J$7:$J$206,$A20)</f>
        <v>0</v>
      </c>
      <c r="E20" s="68" t="n">
        <f aca="false">SUMIFS(Investments!$V$7:$V$206,Investments!$J$7:$J$206,$A20)</f>
        <v>0</v>
      </c>
    </row>
    <row r="21" customFormat="false" ht="15" hidden="false" customHeight="true" outlineLevel="0" collapsed="false">
      <c r="A21" s="67" t="s">
        <v>199</v>
      </c>
      <c r="B21" s="68" t="n">
        <f aca="false">SUMIFS(Investments!$O$7:$O$206,Investments!$J$7:$J$206,$A21)</f>
        <v>0</v>
      </c>
      <c r="C21" s="68" t="n">
        <f aca="false">SUMIFS(Investments!$P$7:$P$206,Investments!$J$7:$J$206,$A21)</f>
        <v>0</v>
      </c>
      <c r="D21" s="68" t="n">
        <f aca="false">SUMIFS(Investments!$U$7:$U$206,Investments!$J$7:$J$206,$A21)</f>
        <v>0</v>
      </c>
      <c r="E21" s="68" t="n">
        <f aca="false">SUMIFS(Investments!$V$7:$V$206,Investments!$J$7:$J$206,$A21)</f>
        <v>0</v>
      </c>
    </row>
    <row r="22" customFormat="false" ht="15" hidden="false" customHeight="true" outlineLevel="0" collapsed="false">
      <c r="A22" s="67" t="s">
        <v>192</v>
      </c>
      <c r="B22" s="68" t="n">
        <f aca="false">SUMIFS(Investments!$O$7:$O$206,Investments!$J$7:$J$206,$A22)</f>
        <v>0</v>
      </c>
      <c r="C22" s="68" t="n">
        <f aca="false">SUMIFS(Investments!$P$7:$P$206,Investments!$J$7:$J$206,$A22)</f>
        <v>0</v>
      </c>
      <c r="D22" s="68" t="n">
        <f aca="false">SUMIFS(Investments!$U$7:$U$206,Investments!$J$7:$J$206,$A22)</f>
        <v>0</v>
      </c>
      <c r="E22" s="68" t="n">
        <f aca="false">SUMIFS(Investments!$V$7:$V$206,Investments!$J$7:$J$206,$A22)</f>
        <v>0</v>
      </c>
    </row>
    <row r="23" customFormat="false" ht="15" hidden="false" customHeight="true" outlineLevel="0" collapsed="false">
      <c r="A23" s="65" t="s">
        <v>200</v>
      </c>
    </row>
    <row r="25" customFormat="false" ht="15" hidden="false" customHeight="true" outlineLevel="0" collapsed="false">
      <c r="A25" s="66" t="s">
        <v>201</v>
      </c>
      <c r="B25" s="66" t="s">
        <v>187</v>
      </c>
      <c r="C25" s="66" t="s">
        <v>188</v>
      </c>
      <c r="D25" s="66" t="s">
        <v>189</v>
      </c>
      <c r="E25" s="66" t="s">
        <v>190</v>
      </c>
    </row>
    <row r="26" customFormat="false" ht="15" hidden="false" customHeight="true" outlineLevel="0" collapsed="false">
      <c r="A26" s="67" t="s">
        <v>120</v>
      </c>
      <c r="B26" s="68" t="n">
        <f aca="false">SUMIFS(Investments!$O$7:$O$206,Investments!$L$7:$L$206,$A26)</f>
        <v>330000</v>
      </c>
      <c r="C26" s="68" t="n">
        <f aca="false">SUMIFS(Investments!$P$7:$P$206,Investments!$L$7:$L$206,$A26)</f>
        <v>130000</v>
      </c>
      <c r="D26" s="68" t="n">
        <f aca="false">SUMIFS(Investments!$U$7:$U$206,Investments!$L$7:$L$206,$A26)</f>
        <v>130000</v>
      </c>
      <c r="E26" s="68" t="n">
        <f aca="false">SUMIFS(Investments!$V$7:$V$206,Investments!$L$7:$L$206,$A26)</f>
        <v>0</v>
      </c>
    </row>
    <row r="27" customFormat="false" ht="15" hidden="false" customHeight="true" outlineLevel="0" collapsed="false">
      <c r="A27" s="67" t="s">
        <v>99</v>
      </c>
      <c r="B27" s="68" t="n">
        <f aca="false">SUMIFS(Investments!$O$7:$O$206,Investments!$L$7:$L$206,$A27)</f>
        <v>300000</v>
      </c>
      <c r="C27" s="68" t="n">
        <f aca="false">SUMIFS(Investments!$P$7:$P$206,Investments!$L$7:$L$206,$A27)</f>
        <v>210000</v>
      </c>
      <c r="D27" s="68" t="n">
        <f aca="false">SUMIFS(Investments!$U$7:$U$206,Investments!$L$7:$L$206,$A27)</f>
        <v>210000</v>
      </c>
      <c r="E27" s="68" t="n">
        <f aca="false">SUMIFS(Investments!$V$7:$V$206,Investments!$L$7:$L$206,$A27)</f>
        <v>0</v>
      </c>
    </row>
    <row r="28" customFormat="false" ht="15" hidden="false" customHeight="true" outlineLevel="0" collapsed="false">
      <c r="A28" s="67" t="s">
        <v>202</v>
      </c>
      <c r="B28" s="68" t="n">
        <f aca="false">SUMIFS(Investments!$O$7:$O$206,Investments!$L$7:$L$206,$A28)</f>
        <v>0</v>
      </c>
      <c r="C28" s="68" t="n">
        <f aca="false">SUMIFS(Investments!$P$7:$P$206,Investments!$L$7:$L$206,$A28)</f>
        <v>0</v>
      </c>
      <c r="D28" s="68" t="n">
        <f aca="false">SUMIFS(Investments!$U$7:$U$206,Investments!$L$7:$L$206,$A28)</f>
        <v>0</v>
      </c>
      <c r="E28" s="68" t="n">
        <f aca="false">SUMIFS(Investments!$V$7:$V$206,Investments!$L$7:$L$206,$A28)</f>
        <v>0</v>
      </c>
    </row>
    <row r="29" customFormat="false" ht="15" hidden="false" customHeight="true" outlineLevel="0" collapsed="false">
      <c r="A29" s="67" t="s">
        <v>203</v>
      </c>
      <c r="B29" s="68" t="n">
        <f aca="false">SUMIFS(Investments!$O$7:$O$206,Investments!$L$7:$L$206,$A29)</f>
        <v>0</v>
      </c>
      <c r="C29" s="68" t="n">
        <f aca="false">SUMIFS(Investments!$P$7:$P$206,Investments!$L$7:$L$206,$A29)</f>
        <v>0</v>
      </c>
      <c r="D29" s="68" t="n">
        <f aca="false">SUMIFS(Investments!$U$7:$U$206,Investments!$L$7:$L$206,$A29)</f>
        <v>0</v>
      </c>
      <c r="E29" s="68" t="n">
        <f aca="false">SUMIFS(Investments!$V$7:$V$206,Investments!$L$7:$L$206,$A29)</f>
        <v>0</v>
      </c>
    </row>
    <row r="30" customFormat="false" ht="15" hidden="false" customHeight="true" outlineLevel="0" collapsed="false">
      <c r="A30" s="67" t="s">
        <v>204</v>
      </c>
      <c r="B30" s="68" t="n">
        <f aca="false">SUMIFS(Investments!$O$7:$O$206,Investments!$L$7:$L$206,$A30)</f>
        <v>0</v>
      </c>
      <c r="C30" s="68" t="n">
        <f aca="false">SUMIFS(Investments!$P$7:$P$206,Investments!$L$7:$L$206,$A30)</f>
        <v>0</v>
      </c>
      <c r="D30" s="68" t="n">
        <f aca="false">SUMIFS(Investments!$U$7:$U$206,Investments!$L$7:$L$206,$A30)</f>
        <v>0</v>
      </c>
      <c r="E30" s="68" t="n">
        <f aca="false">SUMIFS(Investments!$V$7:$V$206,Investments!$L$7:$L$206,$A30)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P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L10" activeCellId="0" sqref="L10"/>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26"/>
    <col collapsed="false" customWidth="true" hidden="false" outlineLevel="0" max="4" min="4" style="1" width="14"/>
    <col collapsed="false" customWidth="true" hidden="false" outlineLevel="0" max="5" min="5" style="1" width="12"/>
    <col collapsed="false" customWidth="true" hidden="false" outlineLevel="0" max="6" min="6" style="1" width="16"/>
    <col collapsed="false" customWidth="true" hidden="false" outlineLevel="0" max="10" min="7" style="1" width="13"/>
    <col collapsed="false" customWidth="true" hidden="false" outlineLevel="0" max="11" min="11" style="1" width="11"/>
    <col collapsed="false" customWidth="true" hidden="false" outlineLevel="0" max="12" min="12" style="1" width="9"/>
    <col collapsed="false" customWidth="true" hidden="false" outlineLevel="0" max="13" min="13" style="1" width="10"/>
    <col collapsed="false" customWidth="true" hidden="false" outlineLevel="0" max="14" min="14" style="1" width="9"/>
    <col collapsed="false" customWidth="true" hidden="false" outlineLevel="0" max="15" min="15" style="1" width="16"/>
    <col collapsed="false" customWidth="true" hidden="false" outlineLevel="0" max="16" min="16" style="1" width="18"/>
  </cols>
  <sheetData>
    <row r="1" customFormat="false" ht="6" hidden="false" customHeight="true" outlineLevel="0" collapsed="false"/>
    <row r="2" customFormat="false" ht="33.75" hidden="false" customHeight="true" outlineLevel="0" collapsed="false">
      <c r="A2" s="73"/>
      <c r="B2" s="74" t="s">
        <v>205</v>
      </c>
      <c r="C2" s="73"/>
      <c r="D2" s="73"/>
      <c r="E2" s="73"/>
      <c r="F2" s="73"/>
      <c r="G2" s="73"/>
      <c r="H2" s="73"/>
      <c r="I2" s="73"/>
      <c r="J2" s="73"/>
      <c r="K2" s="73"/>
      <c r="L2" s="73"/>
      <c r="M2" s="73"/>
      <c r="N2" s="73"/>
      <c r="O2" s="73"/>
      <c r="P2" s="75" t="str">
        <f aca="true">TEXT(TODAY(),"mmm d, yyyy")</f>
        <v>Apr 28, 2026</v>
      </c>
    </row>
    <row r="3" customFormat="false" ht="18" hidden="false" customHeight="true" outlineLevel="0" collapsed="false">
      <c r="B3" s="76" t="s">
        <v>206</v>
      </c>
      <c r="C3" s="76"/>
      <c r="D3" s="76"/>
      <c r="E3" s="76"/>
      <c r="F3" s="76"/>
      <c r="G3" s="76"/>
      <c r="H3" s="76"/>
    </row>
    <row r="4" customFormat="false" ht="9.75" hidden="false" customHeight="true" outlineLevel="0" collapsed="false"/>
    <row r="5" customFormat="false" ht="15.75" hidden="false" customHeight="true" outlineLevel="0" collapsed="false">
      <c r="B5" s="77" t="s">
        <v>207</v>
      </c>
      <c r="C5" s="78" t="s">
        <v>208</v>
      </c>
      <c r="D5" s="78"/>
    </row>
    <row r="6" customFormat="false" ht="27.75" hidden="false" customHeight="true" outlineLevel="0" collapsed="false">
      <c r="B6" s="79" t="s">
        <v>209</v>
      </c>
      <c r="C6" s="79" t="s">
        <v>209</v>
      </c>
      <c r="D6" s="79"/>
    </row>
    <row r="7" customFormat="false" ht="12" hidden="false" customHeight="true" outlineLevel="0" collapsed="false"/>
    <row r="8" customFormat="false" ht="19.5" hidden="false" customHeight="true" outlineLevel="0" collapsed="false">
      <c r="B8" s="80" t="s">
        <v>210</v>
      </c>
      <c r="C8" s="80"/>
      <c r="D8" s="80" t="s">
        <v>211</v>
      </c>
      <c r="E8" s="80"/>
      <c r="F8" s="80" t="s">
        <v>212</v>
      </c>
      <c r="G8" s="80"/>
      <c r="H8" s="80" t="s">
        <v>213</v>
      </c>
      <c r="I8" s="80"/>
      <c r="J8" s="80" t="s">
        <v>214</v>
      </c>
      <c r="K8" s="80"/>
      <c r="L8" s="80" t="s">
        <v>215</v>
      </c>
      <c r="M8" s="80"/>
    </row>
    <row r="9" customFormat="false" ht="3.75" hidden="false" customHeight="true" outlineLevel="0" collapsed="false">
      <c r="B9" s="81"/>
      <c r="C9" s="81"/>
      <c r="D9" s="81"/>
      <c r="E9" s="81"/>
      <c r="F9" s="81"/>
      <c r="G9" s="81"/>
      <c r="H9" s="81"/>
      <c r="I9" s="81"/>
      <c r="J9" s="81"/>
      <c r="K9" s="81"/>
      <c r="L9" s="81"/>
      <c r="M9" s="81"/>
    </row>
    <row r="10" customFormat="false" ht="31.5" hidden="false" customHeight="true" outlineLevel="0" collapsed="false">
      <c r="B10" s="82" t="n">
        <f aca="false">SUMIFS(Investments!$O$7:$O$206,Investments!$J$7:$J$206,IF($B$6="All","*",$B$6),Investments!$D$7:$D$206,IF($C$6="All","*",$C$6))</f>
        <v>630000</v>
      </c>
      <c r="C10" s="82"/>
      <c r="D10" s="83" t="n">
        <f aca="false">SUMIFS(Investments!$P$7:$P$206,Investments!$J$7:$J$206,IF($B$6="All","*",$B$6),Investments!$D$7:$D$206,IF($C$6="All","*",$C$6))</f>
        <v>340000</v>
      </c>
      <c r="E10" s="83"/>
      <c r="F10" s="83" t="n">
        <f aca="false">SUMIFS(Investments!$Q$7:$Q$206,Investments!$J$7:$J$206,IF($B$6="All","*",$B$6),Investments!$D$7:$D$206,IF($C$6="All","*",$C$6))</f>
        <v>290000</v>
      </c>
      <c r="G10" s="83"/>
      <c r="H10" s="83" t="n">
        <f aca="false">SUMIFS(Investments!$U$7:$U$206,Investments!$J$7:$J$206,IF($B$6="All","*",$B$6),Investments!$D$7:$D$206,IF($C$6="All","*",$C$6))</f>
        <v>340000</v>
      </c>
      <c r="I10" s="83"/>
      <c r="J10" s="84" t="n">
        <f aca="false">SUMIFS(Investments!$V$7:$V$206,Investments!$J$7:$J$206,IF($B$6="All","*",$B$6),Investments!$D$7:$D$206,IF($C$6="All","*",$C$6))</f>
        <v>0</v>
      </c>
      <c r="K10" s="84"/>
      <c r="L10" s="85" t="n">
        <f aca="false">IFERROR(SUMPRODUCT(N(+Investments!$O$7:$O$206)*N(+Investments!$AA$7:$AA$206)*(N(+Investments!$AA$7:$AA$206)&gt;0)*((Investments!$J$7:$J$206=$B$6)+($B$6="All"))*((Investments!$D$7:$D$206=$C$6)+($C$6="All")))/SUMPRODUCT(N(+Investments!$O$7:$O$206)*(N(+Investments!$AA$7:$AA$206)&gt;0)*((Investments!$J$7:$J$206=$B$6)+($B$6="All"))*((Investments!$D$7:$D$206=$C$6)+($C$6="All"))),"")</f>
        <v>3.61984126984127</v>
      </c>
      <c r="M10" s="85"/>
    </row>
    <row r="11" customFormat="false" ht="19.5" hidden="false" customHeight="true" outlineLevel="0" collapsed="false">
      <c r="B11" s="86" t="str">
        <f aca="false">IFERROR(COUNTIFS(Investments!$A$7:$A$206,"&lt;&gt;",Investments!$J$7:$J$206,IF($B$6="All","*",$B$6),Investments!$D$7:$D$206,IF($C$6="All","*",$C$6))&amp;" deals","")</f>
        <v>12 deals</v>
      </c>
      <c r="C11" s="86"/>
      <c r="D11" s="87" t="str">
        <f aca="false">IFERROR(TEXT($E$10/$C$10,"0%"),"—")&amp;" of committed"</f>
        <v>— of committed</v>
      </c>
      <c r="E11" s="87"/>
      <c r="F11" s="87" t="str">
        <f aca="false">"future capital calls"</f>
        <v>future capital calls</v>
      </c>
      <c r="G11" s="87"/>
      <c r="H11" s="87" t="str">
        <f aca="false">"marked to last update"</f>
        <v>marked to last update</v>
      </c>
      <c r="I11" s="87"/>
      <c r="J11" s="88" t="str">
        <f aca="false">"lifetime cash returned"</f>
        <v>lifetime cash returned</v>
      </c>
      <c r="K11" s="88"/>
      <c r="L11" s="86" t="str">
        <f aca="false">"incl. distributions"</f>
        <v>incl. distributions</v>
      </c>
      <c r="M11" s="86"/>
    </row>
    <row r="12" customFormat="false" ht="15.75" hidden="false" customHeight="true" outlineLevel="0" collapsed="false"/>
    <row r="13" customFormat="false" ht="21.75" hidden="false" customHeight="true" outlineLevel="0" collapsed="false">
      <c r="B13" s="89" t="s">
        <v>216</v>
      </c>
      <c r="C13" s="89"/>
      <c r="D13" s="89"/>
      <c r="E13" s="89"/>
      <c r="F13" s="89"/>
      <c r="G13" s="89"/>
      <c r="H13" s="89"/>
      <c r="J13" s="89" t="s">
        <v>217</v>
      </c>
      <c r="K13" s="89"/>
      <c r="L13" s="89"/>
      <c r="M13" s="89"/>
      <c r="N13" s="89"/>
      <c r="O13" s="89"/>
      <c r="P13" s="89"/>
    </row>
    <row r="14" customFormat="false" ht="21.75" hidden="false" customHeight="true" outlineLevel="0" collapsed="false">
      <c r="B14" s="90" t="s">
        <v>218</v>
      </c>
      <c r="C14" s="91" t="s">
        <v>219</v>
      </c>
      <c r="D14" s="91" t="s">
        <v>211</v>
      </c>
      <c r="E14" s="91" t="s">
        <v>220</v>
      </c>
      <c r="F14" s="91" t="s">
        <v>213</v>
      </c>
      <c r="G14" s="91" t="s">
        <v>221</v>
      </c>
      <c r="J14" s="92" t="s">
        <v>222</v>
      </c>
      <c r="K14" s="92" t="s">
        <v>223</v>
      </c>
      <c r="L14" s="92" t="s">
        <v>224</v>
      </c>
      <c r="M14" s="92" t="s">
        <v>225</v>
      </c>
      <c r="N14" s="92" t="s">
        <v>226</v>
      </c>
    </row>
    <row r="15" customFormat="false" ht="21.75" hidden="false" customHeight="true" outlineLevel="0" collapsed="false">
      <c r="B15" s="93" t="s">
        <v>115</v>
      </c>
      <c r="C15" s="94" t="n">
        <f aca="false">SUMIFS(Investments!$O$7:$O$206,Investments!$D$7:$D$206,"VC",Investments!$J$7:$J$206,IF($B$6="All","*",$B$6))</f>
        <v>330000</v>
      </c>
      <c r="D15" s="94" t="n">
        <f aca="false">SUMIFS(Investments!$P$7:$P$206,Investments!$D$7:$D$206,"VC",Investments!$J$7:$J$206,IF($B$6="All","*",$B$6))</f>
        <v>130000</v>
      </c>
      <c r="E15" s="95" t="n">
        <f aca="false">IFERROR(D15/$D$10,0)</f>
        <v>0.382352941176471</v>
      </c>
      <c r="F15" s="94" t="n">
        <f aca="false">SUMIFS(Investments!$U$7:$U$206,Investments!$D$7:$D$206,"VC",Investments!$J$7:$J$206,IF($B$6="All","*",$B$6))</f>
        <v>130000</v>
      </c>
      <c r="G15" s="96" t="n">
        <f aca="false">IFERROR((F15+SUMIFS(Investments!$V$7:$V$206,Investments!$D$7:$D$206,"VC",Investments!$J$7:$J$206,IF($B$6="All","*",$B$6)))/D15,"")</f>
        <v>1</v>
      </c>
      <c r="J15" s="97" t="str">
        <f aca="false">IFERROR(IF(COUNTIF(GC_Framework!$C$5:$C$204,"R0")=0,"—",COUNTIF(GC_Framework!$C$5:$C$204,"R0")),"—")</f>
        <v>—</v>
      </c>
      <c r="K15" s="97" t="str">
        <f aca="false">IFERROR(IF(COUNTIF(GC_Framework!$C$5:$C$204,"R1")=0,"—",COUNTIF(GC_Framework!$C$5:$C$204,"R1")),"—")</f>
        <v>—</v>
      </c>
      <c r="L15" s="97" t="n">
        <f aca="false">IFERROR(IF(COUNTIF(GC_Framework!$C$5:$C$204,"R2")=0,"—",COUNTIF(GC_Framework!$C$5:$C$204,"R2")),"—")</f>
        <v>2</v>
      </c>
      <c r="M15" s="97" t="n">
        <f aca="false">IFERROR(IF(COUNTIF(GC_Framework!$C$5:$C$204,"R3")=0,"—",COUNTIF(GC_Framework!$C$5:$C$204,"R3")),"—")</f>
        <v>1</v>
      </c>
      <c r="N15" s="97" t="n">
        <f aca="false">IFERROR(IF(COUNTIF(GC_Framework!$C$5:$C$204,"R4")=0,"—",COUNTIF(GC_Framework!$C$5:$C$204,"R4")),"—")</f>
        <v>2</v>
      </c>
    </row>
    <row r="16" customFormat="false" ht="30" hidden="false" customHeight="true" outlineLevel="0" collapsed="false">
      <c r="B16" s="98" t="s">
        <v>106</v>
      </c>
      <c r="C16" s="99" t="n">
        <f aca="false">SUMIFS(Investments!$O$7:$O$206,Investments!$D$7:$D$206,"Private Equity",Investments!$J$7:$J$206,IF($B$6="All","*",$B$6))</f>
        <v>100000</v>
      </c>
      <c r="D16" s="99" t="n">
        <f aca="false">SUMIFS(Investments!$P$7:$P$206,Investments!$D$7:$D$206,"Private Equity",Investments!$J$7:$J$206,IF($B$6="All","*",$B$6))</f>
        <v>100000</v>
      </c>
      <c r="E16" s="100" t="n">
        <f aca="false">IFERROR(D16/$D$10,0)</f>
        <v>0.294117647058824</v>
      </c>
      <c r="F16" s="99" t="n">
        <f aca="false">SUMIFS(Investments!$U$7:$U$206,Investments!$D$7:$D$206,"Private Equity",Investments!$J$7:$J$206,IF($B$6="All","*",$B$6))</f>
        <v>100000</v>
      </c>
      <c r="G16" s="101" t="n">
        <f aca="false">IFERROR((F16+SUMIFS(Investments!$V$7:$V$206,Investments!$D$7:$D$206,"Private Equity",Investments!$J$7:$J$206,IF($B$6="All","*",$B$6)))/D16,"")</f>
        <v>1</v>
      </c>
      <c r="J16" s="102" t="s">
        <v>227</v>
      </c>
      <c r="K16" s="102" t="s">
        <v>228</v>
      </c>
      <c r="L16" s="102" t="s">
        <v>229</v>
      </c>
      <c r="M16" s="102" t="s">
        <v>230</v>
      </c>
      <c r="N16" s="102" t="s">
        <v>231</v>
      </c>
    </row>
    <row r="17" customFormat="false" ht="21.75" hidden="false" customHeight="true" outlineLevel="0" collapsed="false">
      <c r="B17" s="93" t="s">
        <v>91</v>
      </c>
      <c r="C17" s="94" t="n">
        <f aca="false">SUMIFS(Investments!$O$7:$O$206,Investments!$D$7:$D$206,"Real Estate",Investments!$J$7:$J$206,IF($B$6="All","*",$B$6))</f>
        <v>100000</v>
      </c>
      <c r="D17" s="94" t="n">
        <f aca="false">SUMIFS(Investments!$P$7:$P$206,Investments!$D$7:$D$206,"Real Estate",Investments!$J$7:$J$206,IF($B$6="All","*",$B$6))</f>
        <v>100000</v>
      </c>
      <c r="E17" s="95" t="n">
        <f aca="false">IFERROR(D17/$D$10,0)</f>
        <v>0.294117647058824</v>
      </c>
      <c r="F17" s="94" t="n">
        <f aca="false">SUMIFS(Investments!$U$7:$U$206,Investments!$D$7:$D$206,"Real Estate",Investments!$J$7:$J$206,IF($B$6="All","*",$B$6))</f>
        <v>100000</v>
      </c>
      <c r="G17" s="96" t="n">
        <f aca="false">IFERROR((F17+SUMIFS(Investments!$V$7:$V$206,Investments!$D$7:$D$206,"Real Estate",Investments!$J$7:$J$206,IF($B$6="All","*",$B$6)))/D17,"")</f>
        <v>1</v>
      </c>
    </row>
    <row r="18" customFormat="false" ht="21.75" hidden="false" customHeight="true" outlineLevel="0" collapsed="false">
      <c r="B18" s="98" t="s">
        <v>166</v>
      </c>
      <c r="C18" s="99" t="n">
        <f aca="false">SUMIFS(Investments!$O$7:$O$206,Investments!$D$7:$D$206,"Private Credit",Investments!$J$7:$J$206,IF($B$6="All","*",$B$6))</f>
        <v>100000</v>
      </c>
      <c r="D18" s="99" t="n">
        <f aca="false">SUMIFS(Investments!$P$7:$P$206,Investments!$D$7:$D$206,"Private Credit",Investments!$J$7:$J$206,IF($B$6="All","*",$B$6))</f>
        <v>10000</v>
      </c>
      <c r="E18" s="100" t="n">
        <f aca="false">IFERROR(D18/$D$10,0)</f>
        <v>0.0294117647058824</v>
      </c>
      <c r="F18" s="99" t="n">
        <f aca="false">SUMIFS(Investments!$U$7:$U$206,Investments!$D$7:$D$206,"Private Credit",Investments!$J$7:$J$206,IF($B$6="All","*",$B$6))</f>
        <v>10000</v>
      </c>
      <c r="G18" s="101" t="n">
        <f aca="false">IFERROR((F18+SUMIFS(Investments!$V$7:$V$206,Investments!$D$7:$D$206,"Private Credit",Investments!$J$7:$J$206,IF($B$6="All","*",$B$6)))/D18,"")</f>
        <v>1</v>
      </c>
      <c r="J18" s="92" t="s">
        <v>232</v>
      </c>
      <c r="K18" s="92" t="s">
        <v>233</v>
      </c>
      <c r="L18" s="92" t="s">
        <v>234</v>
      </c>
      <c r="M18" s="92" t="s">
        <v>235</v>
      </c>
      <c r="N18" s="92" t="s">
        <v>236</v>
      </c>
    </row>
    <row r="19" customFormat="false" ht="21.75" hidden="false" customHeight="true" outlineLevel="0" collapsed="false">
      <c r="B19" s="93" t="s">
        <v>192</v>
      </c>
      <c r="C19" s="94" t="n">
        <f aca="false">SUMIFS(Investments!$O$7:$O$206,Investments!$D$7:$D$206,"Other",Investments!$J$7:$J$206,IF($B$6="All","*",$B$6))</f>
        <v>0</v>
      </c>
      <c r="D19" s="94" t="n">
        <f aca="false">SUMIFS(Investments!$P$7:$P$206,Investments!$D$7:$D$206,"Other",Investments!$J$7:$J$206,IF($B$6="All","*",$B$6))</f>
        <v>0</v>
      </c>
      <c r="E19" s="95" t="n">
        <f aca="false">IFERROR(D19/$D$10,0)</f>
        <v>0</v>
      </c>
      <c r="F19" s="94" t="n">
        <f aca="false">SUMIFS(Investments!$U$7:$U$206,Investments!$D$7:$D$206,"Other",Investments!$J$7:$J$206,IF($B$6="All","*",$B$6))</f>
        <v>0</v>
      </c>
      <c r="G19" s="96" t="str">
        <f aca="false">IFERROR((F19+SUMIFS(Investments!$V$7:$V$206,Investments!$D$7:$D$206,"Other",Investments!$J$7:$J$206,IF($B$6="All","*",$B$6)))/D19,"")</f>
        <v/>
      </c>
      <c r="J19" s="97" t="str">
        <f aca="false">IFERROR(IF(COUNTIF(GC_Framework!$C$5:$C$204,"R5")=0,"—",COUNTIF(GC_Framework!$C$5:$C$204,"R5")),"—")</f>
        <v>—</v>
      </c>
      <c r="K19" s="97" t="n">
        <f aca="false">IFERROR(IF(COUNTIF(GC_Framework!$C$5:$C$204,"R6")=0,"—",COUNTIF(GC_Framework!$C$5:$C$204,"R6")),"—")</f>
        <v>2</v>
      </c>
      <c r="L19" s="97" t="n">
        <f aca="false">IFERROR(IF(COUNTIF(GC_Framework!$C$5:$C$204,"R7")=0,"—",COUNTIF(GC_Framework!$C$5:$C$204,"R7")),"—")</f>
        <v>3</v>
      </c>
      <c r="M19" s="97" t="n">
        <f aca="false">IFERROR(IF(COUNTIF(GC_Framework!$C$5:$C$204,"R8")=0,"—",COUNTIF(GC_Framework!$C$5:$C$204,"R8")),"—")</f>
        <v>2</v>
      </c>
      <c r="N19" s="97" t="str">
        <f aca="false">IFERROR(IF(COUNTIF(GC_Framework!$C$5:$C$204,"R9")=0,"—",COUNTIF(GC_Framework!$C$5:$C$204,"R9")),"—")</f>
        <v>—</v>
      </c>
    </row>
    <row r="20" customFormat="false" ht="30" hidden="false" customHeight="true" outlineLevel="0" collapsed="false">
      <c r="B20" s="103" t="s">
        <v>193</v>
      </c>
      <c r="C20" s="104" t="n">
        <f aca="false">SUM(C15:C19)</f>
        <v>630000</v>
      </c>
      <c r="D20" s="104" t="n">
        <f aca="false">SUM(D15:D19)</f>
        <v>340000</v>
      </c>
      <c r="E20" s="105" t="n">
        <f aca="false">SUM(E15:E19)</f>
        <v>1</v>
      </c>
      <c r="F20" s="104" t="n">
        <f aca="false">SUM(F15:F19)</f>
        <v>340000</v>
      </c>
      <c r="G20" s="106" t="n">
        <f aca="false">IFERROR(SUMPRODUCT(N(+Investments!$O$7:$O$206)*N(+Investments!$AA$7:$AA$206)*(N(+Investments!$AA$7:$AA$206)&gt;0)*((Investments!$J$7:$J$206=$B$6)+($B$6="All"))*((Investments!$D$7:$D$206=$C$6)+($C$6="All")))/SUMPRODUCT(N(+Investments!$O$7:$O$206)*(N(+Investments!$AA$7:$AA$206)&gt;0)*((Investments!$J$7:$J$206=$B$6)+($B$6="All"))*((Investments!$D$7:$D$206=$C$6)+($C$6="All"))),"")</f>
        <v>3.61984126984127</v>
      </c>
      <c r="J20" s="102" t="s">
        <v>237</v>
      </c>
      <c r="K20" s="102" t="s">
        <v>238</v>
      </c>
      <c r="L20" s="102" t="s">
        <v>239</v>
      </c>
      <c r="M20" s="102" t="s">
        <v>240</v>
      </c>
      <c r="N20" s="102" t="s">
        <v>241</v>
      </c>
    </row>
    <row r="38" customFormat="false" ht="21.75" hidden="false" customHeight="true" outlineLevel="0" collapsed="false">
      <c r="B38" s="89" t="s">
        <v>242</v>
      </c>
      <c r="C38" s="89"/>
      <c r="D38" s="89"/>
      <c r="E38" s="89"/>
      <c r="F38" s="89"/>
      <c r="G38" s="89"/>
      <c r="H38" s="89"/>
      <c r="I38" s="89"/>
      <c r="J38" s="89"/>
      <c r="K38" s="89"/>
      <c r="L38" s="89"/>
      <c r="M38" s="89"/>
      <c r="N38" s="89"/>
      <c r="O38" s="89"/>
      <c r="P38" s="89"/>
    </row>
    <row r="39" customFormat="false" ht="30" hidden="false" customHeight="true" outlineLevel="0" collapsed="false">
      <c r="B39" s="107" t="s">
        <v>243</v>
      </c>
      <c r="C39" s="107" t="s">
        <v>244</v>
      </c>
      <c r="D39" s="107" t="s">
        <v>218</v>
      </c>
      <c r="E39" s="107" t="s">
        <v>245</v>
      </c>
      <c r="F39" s="107" t="s">
        <v>246</v>
      </c>
      <c r="G39" s="107" t="s">
        <v>247</v>
      </c>
      <c r="H39" s="107" t="s">
        <v>211</v>
      </c>
      <c r="I39" s="107" t="s">
        <v>248</v>
      </c>
      <c r="J39" s="107" t="s">
        <v>249</v>
      </c>
      <c r="K39" s="107" t="s">
        <v>250</v>
      </c>
      <c r="L39" s="107" t="s">
        <v>221</v>
      </c>
      <c r="M39" s="107" t="s">
        <v>251</v>
      </c>
      <c r="N39" s="107" t="s">
        <v>252</v>
      </c>
      <c r="O39" s="107" t="s">
        <v>253</v>
      </c>
      <c r="P39" s="107" t="s">
        <v>254</v>
      </c>
    </row>
    <row r="40" customFormat="false" ht="19.5" hidden="false" customHeight="true" outlineLevel="0" collapsed="false">
      <c r="B40" s="108" t="str">
        <f aca="false">IFERROR(IF(Investments!A7="","",Investments!A7),"")</f>
        <v>GC-RE-001</v>
      </c>
      <c r="C40" s="93" t="str">
        <f aca="false">IFERROR(IF(Investments!B7="","",Investments!B7),"")</f>
        <v>Eephus Growth Fund I</v>
      </c>
      <c r="D40" s="109" t="str">
        <f aca="false">IFERROR(IF(Investments!A7="","",Investments!D7),"")</f>
        <v>Real Estate</v>
      </c>
      <c r="E40" s="109" t="str">
        <f aca="false">IFERROR(IF(Investments!J7="","",Investments!J7),"")</f>
        <v>SD-IRA</v>
      </c>
      <c r="F40" s="109" t="str">
        <f aca="false">IFERROR(IF(Investments!A7="","",Investments!G7),"")</f>
        <v>Closed</v>
      </c>
      <c r="G40" s="94" t="n">
        <f aca="false">IFERROR(IF(Investments!O7="","",Investments!O7),"")</f>
        <v>50000</v>
      </c>
      <c r="H40" s="94" t="n">
        <f aca="false">IFERROR(IF(Investments!P7="","",Investments!P7),"")</f>
        <v>50000</v>
      </c>
      <c r="I40" s="94" t="n">
        <f aca="false">IFERROR(IF(Investments!Q7="","",Investments!Q7),"")</f>
        <v>0</v>
      </c>
      <c r="J40" s="94" t="n">
        <f aca="false">IFERROR(IF(Investments!U7="","",Investments!U7),"")</f>
        <v>50000</v>
      </c>
      <c r="K40" s="94" t="n">
        <f aca="false">IFERROR(IF(Investments!V7="","",Investments!V7),"")</f>
        <v>0</v>
      </c>
      <c r="L40" s="96" t="n">
        <f aca="false">IFERROR(IF(Investments!AB7="","",Investments!AB7),"")</f>
        <v>1</v>
      </c>
      <c r="M40" s="110" t="n">
        <f aca="false">IFERROR(IF(Investments!A7="","",IFERROR(VLOOKUP(Investments!A7,GC_Framework!$A$5:$P$204,2,FALSE()),"")),"")</f>
        <v>0</v>
      </c>
      <c r="N40" s="108" t="str">
        <f aca="false">IFERROR(IF(Investments!A7="","",IFERROR(VLOOKUP(Investments!A7,GC_Framework!$A$5:$P$204,3,FALSE()),"")),"")</f>
        <v>R2</v>
      </c>
      <c r="O40" s="109" t="str">
        <f aca="false">IFERROR(IF(Investments!A7="","",IFERROR(VLOOKUP(Investments!A7,GC_Framework!$A$5:$P$204,5,FALSE()),"")),"")</f>
        <v>Core</v>
      </c>
      <c r="P40" s="109" t="str">
        <f aca="false">IFERROR(IF(Investments!A7="","",IFERROR(VLOOKUP(Investments!A7,GC_Framework!$A$5:$P$204,9,FALSE()),"")),"")</f>
        <v>Yes — strong cash flow + tax</v>
      </c>
    </row>
    <row r="41" customFormat="false" ht="19.5" hidden="false" customHeight="true" outlineLevel="0" collapsed="false">
      <c r="B41" s="111" t="str">
        <f aca="false">IFERROR(IF(Investments!A8="","",Investments!A8),"")</f>
        <v>GC-PE-001</v>
      </c>
      <c r="C41" s="98" t="str">
        <f aca="false">IFERROR(IF(Investments!B8="","",Investments!B8),"")</f>
        <v>BlueBird Capital (Tranche 1)</v>
      </c>
      <c r="D41" s="112" t="str">
        <f aca="false">IFERROR(IF(Investments!A8="","",Investments!D8),"")</f>
        <v>Private Equity</v>
      </c>
      <c r="E41" s="112" t="str">
        <f aca="false">IFERROR(IF(Investments!J8="","",Investments!J8),"")</f>
        <v>SD-IRA</v>
      </c>
      <c r="F41" s="112" t="str">
        <f aca="false">IFERROR(IF(Investments!A8="","",Investments!G8),"")</f>
        <v>Closed</v>
      </c>
      <c r="G41" s="99" t="n">
        <f aca="false">IFERROR(IF(Investments!O8="","",Investments!O8),"")</f>
        <v>50000</v>
      </c>
      <c r="H41" s="99" t="n">
        <f aca="false">IFERROR(IF(Investments!P8="","",Investments!P8),"")</f>
        <v>50000</v>
      </c>
      <c r="I41" s="99" t="n">
        <f aca="false">IFERROR(IF(Investments!Q8="","",Investments!Q8),"")</f>
        <v>0</v>
      </c>
      <c r="J41" s="99" t="n">
        <f aca="false">IFERROR(IF(Investments!U8="","",Investments!U8),"")</f>
        <v>50000</v>
      </c>
      <c r="K41" s="99" t="n">
        <f aca="false">IFERROR(IF(Investments!V8="","",Investments!V8),"")</f>
        <v>0</v>
      </c>
      <c r="L41" s="101" t="n">
        <f aca="false">IFERROR(IF(Investments!AB8="","",Investments!AB8),"")</f>
        <v>1</v>
      </c>
      <c r="M41" s="113" t="n">
        <f aca="false">IFERROR(IF(Investments!A8="","",IFERROR(VLOOKUP(Investments!A8,GC_Framework!$A$5:$P$204,2,FALSE()),"")),"")</f>
        <v>0</v>
      </c>
      <c r="N41" s="111" t="str">
        <f aca="false">IFERROR(IF(Investments!A8="","",IFERROR(VLOOKUP(Investments!A8,GC_Framework!$A$5:$P$204,3,FALSE()),"")),"")</f>
        <v>R4</v>
      </c>
      <c r="O41" s="112" t="str">
        <f aca="false">IFERROR(IF(Investments!A8="","",IFERROR(VLOOKUP(Investments!A8,GC_Framework!$A$5:$P$204,5,FALSE()),"")),"")</f>
        <v>Core</v>
      </c>
      <c r="P41" s="112" t="str">
        <f aca="false">IFERROR(IF(Investments!A8="","",IFERROR(VLOOKUP(Investments!A8,GC_Framework!$A$5:$P$204,9,FALSE()),"")),"")</f>
        <v>Yes — strong distribution yield</v>
      </c>
    </row>
    <row r="42" customFormat="false" ht="19.5" hidden="false" customHeight="true" outlineLevel="0" collapsed="false">
      <c r="B42" s="108" t="str">
        <f aca="false">IFERROR(IF(Investments!A9="","",Investments!A9),"")</f>
        <v>GC-VC-001</v>
      </c>
      <c r="C42" s="93" t="str">
        <f aca="false">IFERROR(IF(Investments!B9="","",Investments!B9),"")</f>
        <v>Next Life Sciences - Plan A</v>
      </c>
      <c r="D42" s="109" t="str">
        <f aca="false">IFERROR(IF(Investments!A9="","",Investments!D9),"")</f>
        <v>VC</v>
      </c>
      <c r="E42" s="109" t="str">
        <f aca="false">IFERROR(IF(Investments!J9="","",Investments!J9),"")</f>
        <v>SD-IRA</v>
      </c>
      <c r="F42" s="109" t="str">
        <f aca="false">IFERROR(IF(Investments!A9="","",Investments!G9),"")</f>
        <v>Closed</v>
      </c>
      <c r="G42" s="94" t="n">
        <f aca="false">IFERROR(IF(Investments!O9="","",Investments!O9),"")</f>
        <v>10000</v>
      </c>
      <c r="H42" s="94" t="n">
        <f aca="false">IFERROR(IF(Investments!P9="","",Investments!P9),"")</f>
        <v>10000</v>
      </c>
      <c r="I42" s="94" t="n">
        <f aca="false">IFERROR(IF(Investments!Q9="","",Investments!Q9),"")</f>
        <v>0</v>
      </c>
      <c r="J42" s="94" t="n">
        <f aca="false">IFERROR(IF(Investments!U9="","",Investments!U9),"")</f>
        <v>10000</v>
      </c>
      <c r="K42" s="94" t="n">
        <f aca="false">IFERROR(IF(Investments!V9="","",Investments!V9),"")</f>
        <v>0</v>
      </c>
      <c r="L42" s="96" t="n">
        <f aca="false">IFERROR(IF(Investments!AB9="","",Investments!AB9),"")</f>
        <v>1</v>
      </c>
      <c r="M42" s="110" t="n">
        <f aca="false">IFERROR(IF(Investments!A9="","",IFERROR(VLOOKUP(Investments!A9,GC_Framework!$A$5:$P$204,2,FALSE()),"")),"")</f>
        <v>0</v>
      </c>
      <c r="N42" s="108" t="str">
        <f aca="false">IFERROR(IF(Investments!A9="","",IFERROR(VLOOKUP(Investments!A9,GC_Framework!$A$5:$P$204,3,FALSE()),"")),"")</f>
        <v>R8</v>
      </c>
      <c r="O42" s="109" t="str">
        <f aca="false">IFERROR(IF(Investments!A9="","",IFERROR(VLOOKUP(Investments!A9,GC_Framework!$A$5:$P$204,5,FALSE()),"")),"")</f>
        <v>Opportunistic</v>
      </c>
      <c r="P42" s="109" t="str">
        <f aca="false">IFERROR(IF(Investments!A9="","",IFERROR(VLOOKUP(Investments!A9,GC_Framework!$A$5:$P$204,9,FALSE()),"")),"")</f>
        <v>Yes — asymmetric upside</v>
      </c>
    </row>
    <row r="43" customFormat="false" ht="19.5" hidden="false" customHeight="true" outlineLevel="0" collapsed="false">
      <c r="B43" s="111" t="str">
        <f aca="false">IFERROR(IF(Investments!A10="","",Investments!A10),"")</f>
        <v>GC-VC-002</v>
      </c>
      <c r="C43" s="98" t="str">
        <f aca="false">IFERROR(IF(Investments!B10="","",Investments!B10),"")</f>
        <v>Telly TV</v>
      </c>
      <c r="D43" s="112" t="str">
        <f aca="false">IFERROR(IF(Investments!A10="","",Investments!D10),"")</f>
        <v>VC</v>
      </c>
      <c r="E43" s="112" t="str">
        <f aca="false">IFERROR(IF(Investments!J10="","",Investments!J10),"")</f>
        <v>SD-IRA</v>
      </c>
      <c r="F43" s="112" t="str">
        <f aca="false">IFERROR(IF(Investments!A10="","",Investments!G10),"")</f>
        <v>Closed</v>
      </c>
      <c r="G43" s="99" t="n">
        <f aca="false">IFERROR(IF(Investments!O10="","",Investments!O10),"")</f>
        <v>5000</v>
      </c>
      <c r="H43" s="99" t="n">
        <f aca="false">IFERROR(IF(Investments!P10="","",Investments!P10),"")</f>
        <v>5000</v>
      </c>
      <c r="I43" s="99" t="n">
        <f aca="false">IFERROR(IF(Investments!Q10="","",Investments!Q10),"")</f>
        <v>0</v>
      </c>
      <c r="J43" s="99" t="n">
        <f aca="false">IFERROR(IF(Investments!U10="","",Investments!U10),"")</f>
        <v>5000</v>
      </c>
      <c r="K43" s="99" t="n">
        <f aca="false">IFERROR(IF(Investments!V10="","",Investments!V10),"")</f>
        <v>0</v>
      </c>
      <c r="L43" s="101" t="n">
        <f aca="false">IFERROR(IF(Investments!AB10="","",Investments!AB10),"")</f>
        <v>1</v>
      </c>
      <c r="M43" s="113" t="n">
        <f aca="false">IFERROR(IF(Investments!A10="","",IFERROR(VLOOKUP(Investments!A10,GC_Framework!$A$5:$P$204,2,FALSE()),"")),"")</f>
        <v>78</v>
      </c>
      <c r="N43" s="111" t="str">
        <f aca="false">IFERROR(IF(Investments!A10="","",IFERROR(VLOOKUP(Investments!A10,GC_Framework!$A$5:$P$204,3,FALSE()),"")),"")</f>
        <v>R7</v>
      </c>
      <c r="O43" s="112" t="str">
        <f aca="false">IFERROR(IF(Investments!A10="","",IFERROR(VLOOKUP(Investments!A10,GC_Framework!$A$5:$P$204,5,FALSE()),"")),"")</f>
        <v>Opportunistic</v>
      </c>
      <c r="P43" s="112" t="str">
        <f aca="false">IFERROR(IF(Investments!A10="","",IFERROR(VLOOKUP(Investments!A10,GC_Framework!$A$5:$P$204,9,FALSE()),"")),"")</f>
        <v>Borderline — small position</v>
      </c>
    </row>
    <row r="44" customFormat="false" ht="19.5" hidden="false" customHeight="true" outlineLevel="0" collapsed="false">
      <c r="B44" s="108" t="str">
        <f aca="false">IFERROR(IF(Investments!A11="","",Investments!A11),"")</f>
        <v>GC-VC-003</v>
      </c>
      <c r="C44" s="93" t="str">
        <f aca="false">IFERROR(IF(Investments!B11="","",Investments!B11),"")</f>
        <v>ÆRTHLINGS</v>
      </c>
      <c r="D44" s="109" t="str">
        <f aca="false">IFERROR(IF(Investments!A11="","",Investments!D11),"")</f>
        <v>VC</v>
      </c>
      <c r="E44" s="109" t="str">
        <f aca="false">IFERROR(IF(Investments!J11="","",Investments!J11),"")</f>
        <v>SD-IRA</v>
      </c>
      <c r="F44" s="109" t="str">
        <f aca="false">IFERROR(IF(Investments!A11="","",Investments!G11),"")</f>
        <v>Closed</v>
      </c>
      <c r="G44" s="94" t="n">
        <f aca="false">IFERROR(IF(Investments!O11="","",Investments!O11),"")</f>
        <v>10000</v>
      </c>
      <c r="H44" s="94" t="n">
        <f aca="false">IFERROR(IF(Investments!P11="","",Investments!P11),"")</f>
        <v>10000</v>
      </c>
      <c r="I44" s="94" t="n">
        <f aca="false">IFERROR(IF(Investments!Q11="","",Investments!Q11),"")</f>
        <v>0</v>
      </c>
      <c r="J44" s="94" t="n">
        <f aca="false">IFERROR(IF(Investments!U11="","",Investments!U11),"")</f>
        <v>10000</v>
      </c>
      <c r="K44" s="94" t="n">
        <f aca="false">IFERROR(IF(Investments!V11="","",Investments!V11),"")</f>
        <v>0</v>
      </c>
      <c r="L44" s="96" t="n">
        <f aca="false">IFERROR(IF(Investments!AB11="","",Investments!AB11),"")</f>
        <v>1</v>
      </c>
      <c r="M44" s="110" t="n">
        <f aca="false">IFERROR(IF(Investments!A11="","",IFERROR(VLOOKUP(Investments!A11,GC_Framework!$A$5:$P$204,2,FALSE()),"")),"")</f>
        <v>88</v>
      </c>
      <c r="N44" s="108" t="str">
        <f aca="false">IFERROR(IF(Investments!A11="","",IFERROR(VLOOKUP(Investments!A11,GC_Framework!$A$5:$P$204,3,FALSE()),"")),"")</f>
        <v>R6</v>
      </c>
      <c r="O44" s="109" t="str">
        <f aca="false">IFERROR(IF(Investments!A11="","",IFERROR(VLOOKUP(Investments!A11,GC_Framework!$A$5:$P$204,5,FALSE()),"")),"")</f>
        <v>Opportunistic</v>
      </c>
      <c r="P44" s="109" t="str">
        <f aca="false">IFERROR(IF(Investments!A11="","",IFERROR(VLOOKUP(Investments!A11,GC_Framework!$A$5:$P$204,9,FALSE()),"")),"")</f>
        <v>Yes — category IP optionality</v>
      </c>
    </row>
    <row r="45" customFormat="false" ht="19.5" hidden="false" customHeight="true" outlineLevel="0" collapsed="false">
      <c r="B45" s="111" t="str">
        <f aca="false">IFERROR(IF(Investments!A12="","",Investments!A12),"")</f>
        <v>GC-VC-004</v>
      </c>
      <c r="C45" s="98" t="str">
        <f aca="false">IFERROR(IF(Investments!B12="","",Investments!B12),"")</f>
        <v>SpaceStation Fund</v>
      </c>
      <c r="D45" s="112" t="str">
        <f aca="false">IFERROR(IF(Investments!A12="","",Investments!D12),"")</f>
        <v>VC</v>
      </c>
      <c r="E45" s="112" t="str">
        <f aca="false">IFERROR(IF(Investments!J12="","",Investments!J12),"")</f>
        <v>SD-IRA</v>
      </c>
      <c r="F45" s="112" t="str">
        <f aca="false">IFERROR(IF(Investments!A12="","",Investments!G12),"")</f>
        <v>Opened</v>
      </c>
      <c r="G45" s="99" t="n">
        <f aca="false">IFERROR(IF(Investments!O12="","",Investments!O12),"")</f>
        <v>250000</v>
      </c>
      <c r="H45" s="99" t="n">
        <f aca="false">IFERROR(IF(Investments!P12="","",Investments!P12),"")</f>
        <v>50000</v>
      </c>
      <c r="I45" s="99" t="n">
        <f aca="false">IFERROR(IF(Investments!Q12="","",Investments!Q12),"")</f>
        <v>200000</v>
      </c>
      <c r="J45" s="99" t="n">
        <f aca="false">IFERROR(IF(Investments!U12="","",Investments!U12),"")</f>
        <v>50000</v>
      </c>
      <c r="K45" s="99" t="n">
        <f aca="false">IFERROR(IF(Investments!V12="","",Investments!V12),"")</f>
        <v>0</v>
      </c>
      <c r="L45" s="101" t="n">
        <f aca="false">IFERROR(IF(Investments!AB12="","",Investments!AB12),"")</f>
        <v>1</v>
      </c>
      <c r="M45" s="113" t="n">
        <f aca="false">IFERROR(IF(Investments!A12="","",IFERROR(VLOOKUP(Investments!A12,GC_Framework!$A$5:$P$204,2,FALSE()),"")),"")</f>
        <v>0</v>
      </c>
      <c r="N45" s="111" t="str">
        <f aca="false">IFERROR(IF(Investments!A12="","",IFERROR(VLOOKUP(Investments!A12,GC_Framework!$A$5:$P$204,3,FALSE()),"")),"")</f>
        <v>R7</v>
      </c>
      <c r="O45" s="112" t="str">
        <f aca="false">IFERROR(IF(Investments!A12="","",IFERROR(VLOOKUP(Investments!A12,GC_Framework!$A$5:$P$204,5,FALSE()),"")),"")</f>
        <v>Core</v>
      </c>
      <c r="P45" s="112" t="str">
        <f aca="false">IFERROR(IF(Investments!A12="","",IFERROR(VLOOKUP(Investments!A12,GC_Framework!$A$5:$P$204,9,FALSE()),"")),"")</f>
        <v>Yes — diversified fund exposure</v>
      </c>
    </row>
    <row r="46" customFormat="false" ht="19.5" hidden="false" customHeight="true" outlineLevel="0" collapsed="false">
      <c r="B46" s="108" t="str">
        <f aca="false">IFERROR(IF(Investments!A13="","",Investments!A13),"")</f>
        <v>GC-VC-005</v>
      </c>
      <c r="C46" s="93" t="str">
        <f aca="false">IFERROR(IF(Investments!B13="","",Investments!B13),"")</f>
        <v>Turbo Insurance</v>
      </c>
      <c r="D46" s="109" t="str">
        <f aca="false">IFERROR(IF(Investments!A13="","",Investments!D13),"")</f>
        <v>VC</v>
      </c>
      <c r="E46" s="109" t="str">
        <f aca="false">IFERROR(IF(Investments!J13="","",Investments!J13),"")</f>
        <v>SD-IRA</v>
      </c>
      <c r="F46" s="109" t="str">
        <f aca="false">IFERROR(IF(Investments!A13="","",Investments!G13),"")</f>
        <v>Closed</v>
      </c>
      <c r="G46" s="94" t="n">
        <f aca="false">IFERROR(IF(Investments!O13="","",Investments!O13),"")</f>
        <v>20000</v>
      </c>
      <c r="H46" s="94" t="n">
        <f aca="false">IFERROR(IF(Investments!P13="","",Investments!P13),"")</f>
        <v>20000</v>
      </c>
      <c r="I46" s="94" t="n">
        <f aca="false">IFERROR(IF(Investments!Q13="","",Investments!Q13),"")</f>
        <v>0</v>
      </c>
      <c r="J46" s="94" t="n">
        <f aca="false">IFERROR(IF(Investments!U13="","",Investments!U13),"")</f>
        <v>20000</v>
      </c>
      <c r="K46" s="94" t="n">
        <f aca="false">IFERROR(IF(Investments!V13="","",Investments!V13),"")</f>
        <v>0</v>
      </c>
      <c r="L46" s="96" t="n">
        <f aca="false">IFERROR(IF(Investments!AB13="","",Investments!AB13),"")</f>
        <v>1</v>
      </c>
      <c r="M46" s="110" t="n">
        <f aca="false">IFERROR(IF(Investments!A13="","",IFERROR(VLOOKUP(Investments!A13,GC_Framework!$A$5:$P$204,2,FALSE()),"")),"")</f>
        <v>0</v>
      </c>
      <c r="N46" s="108" t="str">
        <f aca="false">IFERROR(IF(Investments!A13="","",IFERROR(VLOOKUP(Investments!A13,GC_Framework!$A$5:$P$204,3,FALSE()),"")),"")</f>
        <v>R7</v>
      </c>
      <c r="O46" s="109" t="str">
        <f aca="false">IFERROR(IF(Investments!A13="","",IFERROR(VLOOKUP(Investments!A13,GC_Framework!$A$5:$P$204,5,FALSE()),"")),"")</f>
        <v>Opportunistic</v>
      </c>
      <c r="P46" s="109" t="str">
        <f aca="false">IFERROR(IF(Investments!A13="","",IFERROR(VLOOKUP(Investments!A13,GC_Framework!$A$5:$P$204,9,FALSE()),"")),"")</f>
        <v>Yes — AI x insurance thesis</v>
      </c>
    </row>
    <row r="47" customFormat="false" ht="19.5" hidden="false" customHeight="true" outlineLevel="0" collapsed="false">
      <c r="B47" s="111" t="str">
        <f aca="false">IFERROR(IF(Investments!A14="","",Investments!A14),"")</f>
        <v>GC-RE-002</v>
      </c>
      <c r="C47" s="98" t="str">
        <f aca="false">IFERROR(IF(Investments!B14="","",Investments!B14),"")</f>
        <v>Eephus Growth Fund II</v>
      </c>
      <c r="D47" s="112" t="str">
        <f aca="false">IFERROR(IF(Investments!A14="","",Investments!D14),"")</f>
        <v>Real Estate</v>
      </c>
      <c r="E47" s="112" t="str">
        <f aca="false">IFERROR(IF(Investments!J14="","",Investments!J14),"")</f>
        <v>SD-IRA</v>
      </c>
      <c r="F47" s="112" t="str">
        <f aca="false">IFERROR(IF(Investments!A14="","",Investments!G14),"")</f>
        <v>Opened</v>
      </c>
      <c r="G47" s="99" t="n">
        <f aca="false">IFERROR(IF(Investments!O14="","",Investments!O14),"")</f>
        <v>50000</v>
      </c>
      <c r="H47" s="99" t="n">
        <f aca="false">IFERROR(IF(Investments!P14="","",Investments!P14),"")</f>
        <v>50000</v>
      </c>
      <c r="I47" s="99" t="n">
        <f aca="false">IFERROR(IF(Investments!Q14="","",Investments!Q14),"")</f>
        <v>0</v>
      </c>
      <c r="J47" s="99" t="n">
        <f aca="false">IFERROR(IF(Investments!U14="","",Investments!U14),"")</f>
        <v>50000</v>
      </c>
      <c r="K47" s="99" t="n">
        <f aca="false">IFERROR(IF(Investments!V14="","",Investments!V14),"")</f>
        <v>0</v>
      </c>
      <c r="L47" s="101" t="n">
        <f aca="false">IFERROR(IF(Investments!AB14="","",Investments!AB14),"")</f>
        <v>1</v>
      </c>
      <c r="M47" s="113" t="n">
        <f aca="false">IFERROR(IF(Investments!A14="","",IFERROR(VLOOKUP(Investments!A14,GC_Framework!$A$5:$P$204,2,FALSE()),"")),"")</f>
        <v>0</v>
      </c>
      <c r="N47" s="111" t="str">
        <f aca="false">IFERROR(IF(Investments!A14="","",IFERROR(VLOOKUP(Investments!A14,GC_Framework!$A$5:$P$204,3,FALSE()),"")),"")</f>
        <v>R2</v>
      </c>
      <c r="O47" s="112" t="str">
        <f aca="false">IFERROR(IF(Investments!A14="","",IFERROR(VLOOKUP(Investments!A14,GC_Framework!$A$5:$P$204,5,FALSE()),"")),"")</f>
        <v>Core</v>
      </c>
      <c r="P47" s="112" t="str">
        <f aca="false">IFERROR(IF(Investments!A14="","",IFERROR(VLOOKUP(Investments!A14,GC_Framework!$A$5:$P$204,9,FALSE()),"")),"")</f>
        <v>Yes — recurring preferred income</v>
      </c>
    </row>
    <row r="48" customFormat="false" ht="19.5" hidden="false" customHeight="true" outlineLevel="0" collapsed="false">
      <c r="B48" s="108" t="str">
        <f aca="false">IFERROR(IF(Investments!A15="","",Investments!A15),"")</f>
        <v>GC-PE-002</v>
      </c>
      <c r="C48" s="93" t="str">
        <f aca="false">IFERROR(IF(Investments!B15="","",Investments!B15),"")</f>
        <v>BlueBird Capital (Tranche 2)</v>
      </c>
      <c r="D48" s="109" t="str">
        <f aca="false">IFERROR(IF(Investments!A15="","",Investments!D15),"")</f>
        <v>Private Equity</v>
      </c>
      <c r="E48" s="109" t="str">
        <f aca="false">IFERROR(IF(Investments!J15="","",Investments!J15),"")</f>
        <v>SD-IRA</v>
      </c>
      <c r="F48" s="109" t="str">
        <f aca="false">IFERROR(IF(Investments!A15="","",Investments!G15),"")</f>
        <v>Closed</v>
      </c>
      <c r="G48" s="94" t="n">
        <f aca="false">IFERROR(IF(Investments!O15="","",Investments!O15),"")</f>
        <v>50000</v>
      </c>
      <c r="H48" s="94" t="n">
        <f aca="false">IFERROR(IF(Investments!P15="","",Investments!P15),"")</f>
        <v>50000</v>
      </c>
      <c r="I48" s="94" t="n">
        <f aca="false">IFERROR(IF(Investments!Q15="","",Investments!Q15),"")</f>
        <v>0</v>
      </c>
      <c r="J48" s="94" t="n">
        <f aca="false">IFERROR(IF(Investments!U15="","",Investments!U15),"")</f>
        <v>50000</v>
      </c>
      <c r="K48" s="94" t="n">
        <f aca="false">IFERROR(IF(Investments!V15="","",Investments!V15),"")</f>
        <v>0</v>
      </c>
      <c r="L48" s="96" t="n">
        <f aca="false">IFERROR(IF(Investments!AB15="","",Investments!AB15),"")</f>
        <v>1</v>
      </c>
      <c r="M48" s="110" t="n">
        <f aca="false">IFERROR(IF(Investments!A15="","",IFERROR(VLOOKUP(Investments!A15,GC_Framework!$A$5:$P$204,2,FALSE()),"")),"")</f>
        <v>0</v>
      </c>
      <c r="N48" s="108" t="str">
        <f aca="false">IFERROR(IF(Investments!A15="","",IFERROR(VLOOKUP(Investments!A15,GC_Framework!$A$5:$P$204,3,FALSE()),"")),"")</f>
        <v>R4</v>
      </c>
      <c r="O48" s="109" t="str">
        <f aca="false">IFERROR(IF(Investments!A15="","",IFERROR(VLOOKUP(Investments!A15,GC_Framework!$A$5:$P$204,5,FALSE()),"")),"")</f>
        <v>Core</v>
      </c>
      <c r="P48" s="109" t="str">
        <f aca="false">IFERROR(IF(Investments!A15="","",IFERROR(VLOOKUP(Investments!A15,GC_Framework!$A$5:$P$204,9,FALSE()),"")),"")</f>
        <v>Yes — strong distribution yield</v>
      </c>
    </row>
    <row r="49" customFormat="false" ht="19.5" hidden="false" customHeight="true" outlineLevel="0" collapsed="false">
      <c r="B49" s="111" t="str">
        <f aca="false">IFERROR(IF(Investments!A16="","",Investments!A16),"")</f>
        <v>GC-VC-006</v>
      </c>
      <c r="C49" s="98" t="str">
        <f aca="false">IFERROR(IF(Investments!B16="","",Investments!B16),"")</f>
        <v>Aerolane</v>
      </c>
      <c r="D49" s="112" t="str">
        <f aca="false">IFERROR(IF(Investments!A16="","",Investments!D16),"")</f>
        <v>VC</v>
      </c>
      <c r="E49" s="112" t="str">
        <f aca="false">IFERROR(IF(Investments!J16="","",Investments!J16),"")</f>
        <v>SD-IRA</v>
      </c>
      <c r="F49" s="112" t="str">
        <f aca="false">IFERROR(IF(Investments!A16="","",Investments!G16),"")</f>
        <v>Closed</v>
      </c>
      <c r="G49" s="99" t="n">
        <f aca="false">IFERROR(IF(Investments!O16="","",Investments!O16),"")</f>
        <v>25000</v>
      </c>
      <c r="H49" s="99" t="n">
        <f aca="false">IFERROR(IF(Investments!P16="","",Investments!P16),"")</f>
        <v>25000</v>
      </c>
      <c r="I49" s="99" t="n">
        <f aca="false">IFERROR(IF(Investments!Q16="","",Investments!Q16),"")</f>
        <v>0</v>
      </c>
      <c r="J49" s="99" t="n">
        <f aca="false">IFERROR(IF(Investments!U16="","",Investments!U16),"")</f>
        <v>25000</v>
      </c>
      <c r="K49" s="99" t="n">
        <f aca="false">IFERROR(IF(Investments!V16="","",Investments!V16),"")</f>
        <v>0</v>
      </c>
      <c r="L49" s="101" t="n">
        <f aca="false">IFERROR(IF(Investments!AB16="","",Investments!AB16),"")</f>
        <v>1</v>
      </c>
      <c r="M49" s="113" t="n">
        <f aca="false">IFERROR(IF(Investments!A16="","",IFERROR(VLOOKUP(Investments!A16,GC_Framework!$A$5:$P$204,2,FALSE()),"")),"")</f>
        <v>90</v>
      </c>
      <c r="N49" s="111" t="str">
        <f aca="false">IFERROR(IF(Investments!A16="","",IFERROR(VLOOKUP(Investments!A16,GC_Framework!$A$5:$P$204,3,FALSE()),"")),"")</f>
        <v>R8</v>
      </c>
      <c r="O49" s="112" t="str">
        <f aca="false">IFERROR(IF(Investments!A16="","",IFERROR(VLOOKUP(Investments!A16,GC_Framework!$A$5:$P$204,5,FALSE()),"")),"")</f>
        <v>Opportunistic</v>
      </c>
      <c r="P49" s="112" t="str">
        <f aca="false">IFERROR(IF(Investments!A16="","",IFERROR(VLOOKUP(Investments!A16,GC_Framework!$A$5:$P$204,9,FALSE()),"")),"")</f>
        <v>Yes — infrastructure optionality</v>
      </c>
    </row>
    <row r="50" customFormat="false" ht="19.5" hidden="false" customHeight="true" outlineLevel="0" collapsed="false">
      <c r="B50" s="108" t="str">
        <f aca="false">IFERROR(IF(Investments!A17="","",Investments!A17),"")</f>
        <v>GC-VC-007</v>
      </c>
      <c r="C50" s="93" t="str">
        <f aca="false">IFERROR(IF(Investments!B17="","",Investments!B17),"")</f>
        <v>Rorra</v>
      </c>
      <c r="D50" s="109" t="str">
        <f aca="false">IFERROR(IF(Investments!A17="","",Investments!D17),"")</f>
        <v>VC</v>
      </c>
      <c r="E50" s="109" t="str">
        <f aca="false">IFERROR(IF(Investments!J17="","",Investments!J17),"")</f>
        <v>SD-IRA</v>
      </c>
      <c r="F50" s="109" t="str">
        <f aca="false">IFERROR(IF(Investments!A17="","",Investments!G17),"")</f>
        <v>Closed</v>
      </c>
      <c r="G50" s="94" t="n">
        <f aca="false">IFERROR(IF(Investments!O17="","",Investments!O17),"")</f>
        <v>10000</v>
      </c>
      <c r="H50" s="94" t="n">
        <f aca="false">IFERROR(IF(Investments!P17="","",Investments!P17),"")</f>
        <v>10000</v>
      </c>
      <c r="I50" s="94" t="n">
        <f aca="false">IFERROR(IF(Investments!Q17="","",Investments!Q17),"")</f>
        <v>0</v>
      </c>
      <c r="J50" s="94" t="n">
        <f aca="false">IFERROR(IF(Investments!U17="","",Investments!U17),"")</f>
        <v>10000</v>
      </c>
      <c r="K50" s="94" t="n">
        <f aca="false">IFERROR(IF(Investments!V17="","",Investments!V17),"")</f>
        <v>0</v>
      </c>
      <c r="L50" s="96" t="n">
        <f aca="false">IFERROR(IF(Investments!AB17="","",Investments!AB17),"")</f>
        <v>1</v>
      </c>
      <c r="M50" s="110" t="n">
        <f aca="false">IFERROR(IF(Investments!A17="","",IFERROR(VLOOKUP(Investments!A17,GC_Framework!$A$5:$P$204,2,FALSE()),"")),"")</f>
        <v>0</v>
      </c>
      <c r="N50" s="108" t="str">
        <f aca="false">IFERROR(IF(Investments!A17="","",IFERROR(VLOOKUP(Investments!A17,GC_Framework!$A$5:$P$204,3,FALSE()),"")),"")</f>
        <v>R6</v>
      </c>
      <c r="O50" s="109" t="str">
        <f aca="false">IFERROR(IF(Investments!A17="","",IFERROR(VLOOKUP(Investments!A17,GC_Framework!$A$5:$P$204,5,FALSE()),"")),"")</f>
        <v>Opportunistic</v>
      </c>
      <c r="P50" s="109" t="str">
        <f aca="false">IFERROR(IF(Investments!A17="","",IFERROR(VLOOKUP(Investments!A17,GC_Framework!$A$5:$P$204,9,FALSE()),"")),"")</f>
        <v>Yes — strong subscription model</v>
      </c>
    </row>
    <row r="51" customFormat="false" ht="19.5" hidden="false" customHeight="true" outlineLevel="0" collapsed="false">
      <c r="B51" s="111" t="str">
        <f aca="false">IFERROR(IF(Investments!A18="","",Investments!A18),"")</f>
        <v>GC-PE-003</v>
      </c>
      <c r="C51" s="98" t="str">
        <f aca="false">IFERROR(IF(Investments!B18="","",Investments!B18),"")</f>
        <v>Asilia GC Fund</v>
      </c>
      <c r="D51" s="112" t="str">
        <f aca="false">IFERROR(IF(Investments!A18="","",Investments!D18),"")</f>
        <v>Private Credit</v>
      </c>
      <c r="E51" s="112" t="str">
        <f aca="false">IFERROR(IF(Investments!J18="","",Investments!J18),"")</f>
        <v>SD-IRA</v>
      </c>
      <c r="F51" s="112" t="str">
        <f aca="false">IFERROR(IF(Investments!A18="","",Investments!G18),"")</f>
        <v>Opened</v>
      </c>
      <c r="G51" s="99" t="n">
        <f aca="false">IFERROR(IF(Investments!O18="","",Investments!O18),"")</f>
        <v>100000</v>
      </c>
      <c r="H51" s="99" t="n">
        <f aca="false">IFERROR(IF(Investments!P18="","",Investments!P18),"")</f>
        <v>10000</v>
      </c>
      <c r="I51" s="99" t="n">
        <f aca="false">IFERROR(IF(Investments!Q18="","",Investments!Q18),"")</f>
        <v>90000</v>
      </c>
      <c r="J51" s="99" t="n">
        <f aca="false">IFERROR(IF(Investments!U18="","",Investments!U18),"")</f>
        <v>10000</v>
      </c>
      <c r="K51" s="99" t="n">
        <f aca="false">IFERROR(IF(Investments!V18="","",Investments!V18),"")</f>
        <v>0</v>
      </c>
      <c r="L51" s="101" t="n">
        <f aca="false">IFERROR(IF(Investments!AB18="","",Investments!AB18),"")</f>
        <v>1</v>
      </c>
      <c r="M51" s="113" t="n">
        <f aca="false">IFERROR(IF(Investments!A18="","",IFERROR(VLOOKUP(Investments!A18,GC_Framework!$A$5:$P$204,2,FALSE()),"")),"")</f>
        <v>83</v>
      </c>
      <c r="N51" s="111" t="str">
        <f aca="false">IFERROR(IF(Investments!A18="","",IFERROR(VLOOKUP(Investments!A18,GC_Framework!$A$5:$P$204,3,FALSE()),"")),"")</f>
        <v>R3</v>
      </c>
      <c r="O51" s="112" t="str">
        <f aca="false">IFERROR(IF(Investments!A18="","",IFERROR(VLOOKUP(Investments!A18,GC_Framework!$A$5:$P$204,5,FALSE()),"")),"")</f>
        <v>Core</v>
      </c>
      <c r="P51" s="112" t="str">
        <f aca="false">IFERROR(IF(Investments!A18="","",IFERROR(VLOOKUP(Investments!A18,GC_Framework!$A$5:$P$204,9,FALSE()),"")),"")</f>
        <v>Yes — strong yield + diversification</v>
      </c>
    </row>
    <row r="52" customFormat="false" ht="19.5" hidden="false" customHeight="true" outlineLevel="0" collapsed="false">
      <c r="B52" s="108" t="str">
        <f aca="false">IFERROR(IF(Investments!A19="","",Investments!A19),"")</f>
        <v/>
      </c>
      <c r="C52" s="93" t="str">
        <f aca="false">IFERROR(IF(Investments!B19="","",Investments!B19),"")</f>
        <v/>
      </c>
      <c r="D52" s="109" t="str">
        <f aca="false">IFERROR(IF(Investments!A19="","",Investments!D19),"")</f>
        <v/>
      </c>
      <c r="E52" s="109" t="str">
        <f aca="false">IFERROR(IF(Investments!J19="","",Investments!J19),"")</f>
        <v/>
      </c>
      <c r="F52" s="109" t="str">
        <f aca="false">IFERROR(IF(Investments!A19="","",Investments!G19),"")</f>
        <v/>
      </c>
      <c r="G52" s="94" t="str">
        <f aca="false">IFERROR(IF(Investments!O19="","",Investments!O19),"")</f>
        <v/>
      </c>
      <c r="H52" s="94" t="str">
        <f aca="false">IFERROR(IF(Investments!P19="","",Investments!P19),"")</f>
        <v/>
      </c>
      <c r="I52" s="94" t="str">
        <f aca="false">IFERROR(IF(Investments!Q19="","",Investments!Q19),"")</f>
        <v/>
      </c>
      <c r="J52" s="94" t="str">
        <f aca="false">IFERROR(IF(Investments!U19="","",Investments!U19),"")</f>
        <v/>
      </c>
      <c r="K52" s="94" t="str">
        <f aca="false">IFERROR(IF(Investments!V19="","",Investments!V19),"")</f>
        <v/>
      </c>
      <c r="L52" s="96" t="str">
        <f aca="false">IFERROR(IF(Investments!AB19="","",Investments!AB19),"")</f>
        <v/>
      </c>
      <c r="M52" s="110" t="str">
        <f aca="false">IFERROR(IF(Investments!A19="","",IFERROR(VLOOKUP(Investments!A19,GC_Framework!$A$5:$P$204,2,FALSE()),"")),"")</f>
        <v/>
      </c>
      <c r="N52" s="108" t="str">
        <f aca="false">IFERROR(IF(Investments!A19="","",IFERROR(VLOOKUP(Investments!A19,GC_Framework!$A$5:$P$204,3,FALSE()),"")),"")</f>
        <v/>
      </c>
      <c r="O52" s="109" t="str">
        <f aca="false">IFERROR(IF(Investments!A19="","",IFERROR(VLOOKUP(Investments!A19,GC_Framework!$A$5:$P$204,5,FALSE()),"")),"")</f>
        <v/>
      </c>
      <c r="P52" s="109" t="str">
        <f aca="false">IFERROR(IF(Investments!A19="","",IFERROR(VLOOKUP(Investments!A19,GC_Framework!$A$5:$P$204,9,FALSE()),"")),"")</f>
        <v/>
      </c>
    </row>
    <row r="53" customFormat="false" ht="19.5" hidden="false" customHeight="true" outlineLevel="0" collapsed="false">
      <c r="B53" s="111" t="str">
        <f aca="false">IFERROR(IF(Investments!A20="","",Investments!A20),"")</f>
        <v/>
      </c>
      <c r="C53" s="98" t="str">
        <f aca="false">IFERROR(IF(Investments!B20="","",Investments!B20),"")</f>
        <v/>
      </c>
      <c r="D53" s="112" t="str">
        <f aca="false">IFERROR(IF(Investments!A20="","",Investments!D20),"")</f>
        <v/>
      </c>
      <c r="E53" s="112" t="str">
        <f aca="false">IFERROR(IF(Investments!J20="","",Investments!J20),"")</f>
        <v/>
      </c>
      <c r="F53" s="112" t="str">
        <f aca="false">IFERROR(IF(Investments!A20="","",Investments!G20),"")</f>
        <v/>
      </c>
      <c r="G53" s="99" t="str">
        <f aca="false">IFERROR(IF(Investments!O20="","",Investments!O20),"")</f>
        <v/>
      </c>
      <c r="H53" s="99" t="str">
        <f aca="false">IFERROR(IF(Investments!P20="","",Investments!P20),"")</f>
        <v/>
      </c>
      <c r="I53" s="99" t="str">
        <f aca="false">IFERROR(IF(Investments!Q20="","",Investments!Q20),"")</f>
        <v/>
      </c>
      <c r="J53" s="99" t="str">
        <f aca="false">IFERROR(IF(Investments!U20="","",Investments!U20),"")</f>
        <v/>
      </c>
      <c r="K53" s="99" t="str">
        <f aca="false">IFERROR(IF(Investments!V20="","",Investments!V20),"")</f>
        <v/>
      </c>
      <c r="L53" s="101" t="str">
        <f aca="false">IFERROR(IF(Investments!AB20="","",Investments!AB20),"")</f>
        <v/>
      </c>
      <c r="M53" s="113" t="str">
        <f aca="false">IFERROR(IF(Investments!A20="","",IFERROR(VLOOKUP(Investments!A20,GC_Framework!$A$5:$P$204,2,FALSE()),"")),"")</f>
        <v/>
      </c>
      <c r="N53" s="111" t="str">
        <f aca="false">IFERROR(IF(Investments!A20="","",IFERROR(VLOOKUP(Investments!A20,GC_Framework!$A$5:$P$204,3,FALSE()),"")),"")</f>
        <v/>
      </c>
      <c r="O53" s="112" t="str">
        <f aca="false">IFERROR(IF(Investments!A20="","",IFERROR(VLOOKUP(Investments!A20,GC_Framework!$A$5:$P$204,5,FALSE()),"")),"")</f>
        <v/>
      </c>
      <c r="P53" s="112" t="str">
        <f aca="false">IFERROR(IF(Investments!A20="","",IFERROR(VLOOKUP(Investments!A20,GC_Framework!$A$5:$P$204,9,FALSE()),"")),"")</f>
        <v/>
      </c>
    </row>
    <row r="54" customFormat="false" ht="19.5" hidden="false" customHeight="true" outlineLevel="0" collapsed="false">
      <c r="B54" s="108" t="str">
        <f aca="false">IFERROR(IF(Investments!A21="","",Investments!A21),"")</f>
        <v/>
      </c>
      <c r="C54" s="93" t="str">
        <f aca="false">IFERROR(IF(Investments!B21="","",Investments!B21),"")</f>
        <v/>
      </c>
      <c r="D54" s="109" t="str">
        <f aca="false">IFERROR(IF(Investments!A21="","",Investments!D21),"")</f>
        <v/>
      </c>
      <c r="E54" s="109" t="str">
        <f aca="false">IFERROR(IF(Investments!J21="","",Investments!J21),"")</f>
        <v/>
      </c>
      <c r="F54" s="109" t="str">
        <f aca="false">IFERROR(IF(Investments!A21="","",Investments!G21),"")</f>
        <v/>
      </c>
      <c r="G54" s="94" t="str">
        <f aca="false">IFERROR(IF(Investments!O21="","",Investments!O21),"")</f>
        <v/>
      </c>
      <c r="H54" s="94" t="str">
        <f aca="false">IFERROR(IF(Investments!P21="","",Investments!P21),"")</f>
        <v/>
      </c>
      <c r="I54" s="94" t="str">
        <f aca="false">IFERROR(IF(Investments!Q21="","",Investments!Q21),"")</f>
        <v/>
      </c>
      <c r="J54" s="94" t="str">
        <f aca="false">IFERROR(IF(Investments!U21="","",Investments!U21),"")</f>
        <v/>
      </c>
      <c r="K54" s="94" t="str">
        <f aca="false">IFERROR(IF(Investments!V21="","",Investments!V21),"")</f>
        <v/>
      </c>
      <c r="L54" s="96" t="str">
        <f aca="false">IFERROR(IF(Investments!AB21="","",Investments!AB21),"")</f>
        <v/>
      </c>
      <c r="M54" s="110" t="str">
        <f aca="false">IFERROR(IF(Investments!A21="","",IFERROR(VLOOKUP(Investments!A21,GC_Framework!$A$5:$P$204,2,FALSE()),"")),"")</f>
        <v/>
      </c>
      <c r="N54" s="108" t="str">
        <f aca="false">IFERROR(IF(Investments!A21="","",IFERROR(VLOOKUP(Investments!A21,GC_Framework!$A$5:$P$204,3,FALSE()),"")),"")</f>
        <v/>
      </c>
      <c r="O54" s="109" t="str">
        <f aca="false">IFERROR(IF(Investments!A21="","",IFERROR(VLOOKUP(Investments!A21,GC_Framework!$A$5:$P$204,5,FALSE()),"")),"")</f>
        <v/>
      </c>
      <c r="P54" s="109" t="str">
        <f aca="false">IFERROR(IF(Investments!A21="","",IFERROR(VLOOKUP(Investments!A21,GC_Framework!$A$5:$P$204,9,FALSE()),"")),"")</f>
        <v/>
      </c>
    </row>
    <row r="55" customFormat="false" ht="19.5" hidden="false" customHeight="true" outlineLevel="0" collapsed="false">
      <c r="B55" s="111" t="str">
        <f aca="false">IFERROR(IF(Investments!A22="","",Investments!A22),"")</f>
        <v/>
      </c>
      <c r="C55" s="98" t="str">
        <f aca="false">IFERROR(IF(Investments!B22="","",Investments!B22),"")</f>
        <v/>
      </c>
      <c r="D55" s="112" t="str">
        <f aca="false">IFERROR(IF(Investments!A22="","",Investments!D22),"")</f>
        <v/>
      </c>
      <c r="E55" s="112" t="str">
        <f aca="false">IFERROR(IF(Investments!J22="","",Investments!J22),"")</f>
        <v/>
      </c>
      <c r="F55" s="112" t="str">
        <f aca="false">IFERROR(IF(Investments!A22="","",Investments!G22),"")</f>
        <v/>
      </c>
      <c r="G55" s="99" t="str">
        <f aca="false">IFERROR(IF(Investments!O22="","",Investments!O22),"")</f>
        <v/>
      </c>
      <c r="H55" s="99" t="str">
        <f aca="false">IFERROR(IF(Investments!P22="","",Investments!P22),"")</f>
        <v/>
      </c>
      <c r="I55" s="99" t="str">
        <f aca="false">IFERROR(IF(Investments!Q22="","",Investments!Q22),"")</f>
        <v/>
      </c>
      <c r="J55" s="99" t="str">
        <f aca="false">IFERROR(IF(Investments!U22="","",Investments!U22),"")</f>
        <v/>
      </c>
      <c r="K55" s="99" t="str">
        <f aca="false">IFERROR(IF(Investments!V22="","",Investments!V22),"")</f>
        <v/>
      </c>
      <c r="L55" s="101" t="str">
        <f aca="false">IFERROR(IF(Investments!AB22="","",Investments!AB22),"")</f>
        <v/>
      </c>
      <c r="M55" s="113" t="str">
        <f aca="false">IFERROR(IF(Investments!A22="","",IFERROR(VLOOKUP(Investments!A22,GC_Framework!$A$5:$P$204,2,FALSE()),"")),"")</f>
        <v/>
      </c>
      <c r="N55" s="111" t="str">
        <f aca="false">IFERROR(IF(Investments!A22="","",IFERROR(VLOOKUP(Investments!A22,GC_Framework!$A$5:$P$204,3,FALSE()),"")),"")</f>
        <v/>
      </c>
      <c r="O55" s="112" t="str">
        <f aca="false">IFERROR(IF(Investments!A22="","",IFERROR(VLOOKUP(Investments!A22,GC_Framework!$A$5:$P$204,5,FALSE()),"")),"")</f>
        <v/>
      </c>
      <c r="P55" s="112" t="str">
        <f aca="false">IFERROR(IF(Investments!A22="","",IFERROR(VLOOKUP(Investments!A22,GC_Framework!$A$5:$P$204,9,FALSE()),"")),"")</f>
        <v/>
      </c>
    </row>
    <row r="56" customFormat="false" ht="19.5" hidden="false" customHeight="true" outlineLevel="0" collapsed="false">
      <c r="B56" s="108" t="str">
        <f aca="false">IFERROR(IF(Investments!A23="","",Investments!A23),"")</f>
        <v/>
      </c>
      <c r="C56" s="93" t="str">
        <f aca="false">IFERROR(IF(Investments!B23="","",Investments!B23),"")</f>
        <v/>
      </c>
      <c r="D56" s="109" t="str">
        <f aca="false">IFERROR(IF(Investments!A23="","",Investments!D23),"")</f>
        <v/>
      </c>
      <c r="E56" s="109" t="str">
        <f aca="false">IFERROR(IF(Investments!J23="","",Investments!J23),"")</f>
        <v/>
      </c>
      <c r="F56" s="109" t="str">
        <f aca="false">IFERROR(IF(Investments!A23="","",Investments!G23),"")</f>
        <v/>
      </c>
      <c r="G56" s="94" t="str">
        <f aca="false">IFERROR(IF(Investments!O23="","",Investments!O23),"")</f>
        <v/>
      </c>
      <c r="H56" s="94" t="str">
        <f aca="false">IFERROR(IF(Investments!P23="","",Investments!P23),"")</f>
        <v/>
      </c>
      <c r="I56" s="94" t="str">
        <f aca="false">IFERROR(IF(Investments!Q23="","",Investments!Q23),"")</f>
        <v/>
      </c>
      <c r="J56" s="94" t="str">
        <f aca="false">IFERROR(IF(Investments!U23="","",Investments!U23),"")</f>
        <v/>
      </c>
      <c r="K56" s="94" t="str">
        <f aca="false">IFERROR(IF(Investments!V23="","",Investments!V23),"")</f>
        <v/>
      </c>
      <c r="L56" s="96" t="str">
        <f aca="false">IFERROR(IF(Investments!AB23="","",Investments!AB23),"")</f>
        <v/>
      </c>
      <c r="M56" s="110" t="str">
        <f aca="false">IFERROR(IF(Investments!A23="","",IFERROR(VLOOKUP(Investments!A23,GC_Framework!$A$5:$P$204,2,FALSE()),"")),"")</f>
        <v/>
      </c>
      <c r="N56" s="108" t="str">
        <f aca="false">IFERROR(IF(Investments!A23="","",IFERROR(VLOOKUP(Investments!A23,GC_Framework!$A$5:$P$204,3,FALSE()),"")),"")</f>
        <v/>
      </c>
      <c r="O56" s="109" t="str">
        <f aca="false">IFERROR(IF(Investments!A23="","",IFERROR(VLOOKUP(Investments!A23,GC_Framework!$A$5:$P$204,5,FALSE()),"")),"")</f>
        <v/>
      </c>
      <c r="P56" s="109" t="str">
        <f aca="false">IFERROR(IF(Investments!A23="","",IFERROR(VLOOKUP(Investments!A23,GC_Framework!$A$5:$P$204,9,FALSE()),"")),"")</f>
        <v/>
      </c>
    </row>
    <row r="57" customFormat="false" ht="19.5" hidden="false" customHeight="true" outlineLevel="0" collapsed="false">
      <c r="B57" s="111" t="str">
        <f aca="false">IFERROR(IF(Investments!A24="","",Investments!A24),"")</f>
        <v/>
      </c>
      <c r="C57" s="98" t="str">
        <f aca="false">IFERROR(IF(Investments!B24="","",Investments!B24),"")</f>
        <v/>
      </c>
      <c r="D57" s="112" t="str">
        <f aca="false">IFERROR(IF(Investments!A24="","",Investments!D24),"")</f>
        <v/>
      </c>
      <c r="E57" s="112" t="str">
        <f aca="false">IFERROR(IF(Investments!J24="","",Investments!J24),"")</f>
        <v/>
      </c>
      <c r="F57" s="112" t="str">
        <f aca="false">IFERROR(IF(Investments!A24="","",Investments!G24),"")</f>
        <v/>
      </c>
      <c r="G57" s="99" t="str">
        <f aca="false">IFERROR(IF(Investments!O24="","",Investments!O24),"")</f>
        <v/>
      </c>
      <c r="H57" s="99" t="str">
        <f aca="false">IFERROR(IF(Investments!P24="","",Investments!P24),"")</f>
        <v/>
      </c>
      <c r="I57" s="99" t="str">
        <f aca="false">IFERROR(IF(Investments!Q24="","",Investments!Q24),"")</f>
        <v/>
      </c>
      <c r="J57" s="99" t="str">
        <f aca="false">IFERROR(IF(Investments!U24="","",Investments!U24),"")</f>
        <v/>
      </c>
      <c r="K57" s="99" t="str">
        <f aca="false">IFERROR(IF(Investments!V24="","",Investments!V24),"")</f>
        <v/>
      </c>
      <c r="L57" s="101" t="str">
        <f aca="false">IFERROR(IF(Investments!AB24="","",Investments!AB24),"")</f>
        <v/>
      </c>
      <c r="M57" s="113" t="str">
        <f aca="false">IFERROR(IF(Investments!A24="","",IFERROR(VLOOKUP(Investments!A24,GC_Framework!$A$5:$P$204,2,FALSE()),"")),"")</f>
        <v/>
      </c>
      <c r="N57" s="111" t="str">
        <f aca="false">IFERROR(IF(Investments!A24="","",IFERROR(VLOOKUP(Investments!A24,GC_Framework!$A$5:$P$204,3,FALSE()),"")),"")</f>
        <v/>
      </c>
      <c r="O57" s="112" t="str">
        <f aca="false">IFERROR(IF(Investments!A24="","",IFERROR(VLOOKUP(Investments!A24,GC_Framework!$A$5:$P$204,5,FALSE()),"")),"")</f>
        <v/>
      </c>
      <c r="P57" s="112" t="str">
        <f aca="false">IFERROR(IF(Investments!A24="","",IFERROR(VLOOKUP(Investments!A24,GC_Framework!$A$5:$P$204,9,FALSE()),"")),"")</f>
        <v/>
      </c>
    </row>
    <row r="58" customFormat="false" ht="19.5" hidden="false" customHeight="true" outlineLevel="0" collapsed="false">
      <c r="B58" s="108" t="str">
        <f aca="false">IFERROR(IF(Investments!A25="","",Investments!A25),"")</f>
        <v/>
      </c>
      <c r="C58" s="93" t="str">
        <f aca="false">IFERROR(IF(Investments!B25="","",Investments!B25),"")</f>
        <v/>
      </c>
      <c r="D58" s="109" t="str">
        <f aca="false">IFERROR(IF(Investments!A25="","",Investments!D25),"")</f>
        <v/>
      </c>
      <c r="E58" s="109" t="str">
        <f aca="false">IFERROR(IF(Investments!J25="","",Investments!J25),"")</f>
        <v/>
      </c>
      <c r="F58" s="109" t="str">
        <f aca="false">IFERROR(IF(Investments!A25="","",Investments!G25),"")</f>
        <v/>
      </c>
      <c r="G58" s="94" t="str">
        <f aca="false">IFERROR(IF(Investments!O25="","",Investments!O25),"")</f>
        <v/>
      </c>
      <c r="H58" s="94" t="str">
        <f aca="false">IFERROR(IF(Investments!P25="","",Investments!P25),"")</f>
        <v/>
      </c>
      <c r="I58" s="94" t="str">
        <f aca="false">IFERROR(IF(Investments!Q25="","",Investments!Q25),"")</f>
        <v/>
      </c>
      <c r="J58" s="94" t="str">
        <f aca="false">IFERROR(IF(Investments!U25="","",Investments!U25),"")</f>
        <v/>
      </c>
      <c r="K58" s="94" t="str">
        <f aca="false">IFERROR(IF(Investments!V25="","",Investments!V25),"")</f>
        <v/>
      </c>
      <c r="L58" s="96" t="str">
        <f aca="false">IFERROR(IF(Investments!AB25="","",Investments!AB25),"")</f>
        <v/>
      </c>
      <c r="M58" s="110" t="str">
        <f aca="false">IFERROR(IF(Investments!A25="","",IFERROR(VLOOKUP(Investments!A25,GC_Framework!$A$5:$P$204,2,FALSE()),"")),"")</f>
        <v/>
      </c>
      <c r="N58" s="108" t="str">
        <f aca="false">IFERROR(IF(Investments!A25="","",IFERROR(VLOOKUP(Investments!A25,GC_Framework!$A$5:$P$204,3,FALSE()),"")),"")</f>
        <v/>
      </c>
      <c r="O58" s="109" t="str">
        <f aca="false">IFERROR(IF(Investments!A25="","",IFERROR(VLOOKUP(Investments!A25,GC_Framework!$A$5:$P$204,5,FALSE()),"")),"")</f>
        <v/>
      </c>
      <c r="P58" s="109" t="str">
        <f aca="false">IFERROR(IF(Investments!A25="","",IFERROR(VLOOKUP(Investments!A25,GC_Framework!$A$5:$P$204,9,FALSE()),"")),"")</f>
        <v/>
      </c>
    </row>
    <row r="59" customFormat="false" ht="19.5" hidden="false" customHeight="true" outlineLevel="0" collapsed="false">
      <c r="B59" s="111" t="str">
        <f aca="false">IFERROR(IF(Investments!A26="","",Investments!A26),"")</f>
        <v/>
      </c>
      <c r="C59" s="98" t="str">
        <f aca="false">IFERROR(IF(Investments!B26="","",Investments!B26),"")</f>
        <v/>
      </c>
      <c r="D59" s="112" t="str">
        <f aca="false">IFERROR(IF(Investments!A26="","",Investments!D26),"")</f>
        <v/>
      </c>
      <c r="E59" s="112" t="str">
        <f aca="false">IFERROR(IF(Investments!J26="","",Investments!J26),"")</f>
        <v/>
      </c>
      <c r="F59" s="112" t="str">
        <f aca="false">IFERROR(IF(Investments!A26="","",Investments!G26),"")</f>
        <v/>
      </c>
      <c r="G59" s="99" t="str">
        <f aca="false">IFERROR(IF(Investments!O26="","",Investments!O26),"")</f>
        <v/>
      </c>
      <c r="H59" s="99" t="str">
        <f aca="false">IFERROR(IF(Investments!P26="","",Investments!P26),"")</f>
        <v/>
      </c>
      <c r="I59" s="99" t="str">
        <f aca="false">IFERROR(IF(Investments!Q26="","",Investments!Q26),"")</f>
        <v/>
      </c>
      <c r="J59" s="99" t="str">
        <f aca="false">IFERROR(IF(Investments!U26="","",Investments!U26),"")</f>
        <v/>
      </c>
      <c r="K59" s="99" t="str">
        <f aca="false">IFERROR(IF(Investments!V26="","",Investments!V26),"")</f>
        <v/>
      </c>
      <c r="L59" s="101" t="str">
        <f aca="false">IFERROR(IF(Investments!AB26="","",Investments!AB26),"")</f>
        <v/>
      </c>
      <c r="M59" s="113" t="str">
        <f aca="false">IFERROR(IF(Investments!A26="","",IFERROR(VLOOKUP(Investments!A26,GC_Framework!$A$5:$P$204,2,FALSE()),"")),"")</f>
        <v/>
      </c>
      <c r="N59" s="111" t="str">
        <f aca="false">IFERROR(IF(Investments!A26="","",IFERROR(VLOOKUP(Investments!A26,GC_Framework!$A$5:$P$204,3,FALSE()),"")),"")</f>
        <v/>
      </c>
      <c r="O59" s="112" t="str">
        <f aca="false">IFERROR(IF(Investments!A26="","",IFERROR(VLOOKUP(Investments!A26,GC_Framework!$A$5:$P$204,5,FALSE()),"")),"")</f>
        <v/>
      </c>
      <c r="P59" s="112" t="str">
        <f aca="false">IFERROR(IF(Investments!A26="","",IFERROR(VLOOKUP(Investments!A26,GC_Framework!$A$5:$P$204,9,FALSE()),"")),"")</f>
        <v/>
      </c>
    </row>
    <row r="60" customFormat="false" ht="19.5" hidden="false" customHeight="true" outlineLevel="0" collapsed="false">
      <c r="B60" s="108" t="str">
        <f aca="false">IFERROR(IF(Investments!A27="","",Investments!A27),"")</f>
        <v/>
      </c>
      <c r="C60" s="93" t="str">
        <f aca="false">IFERROR(IF(Investments!B27="","",Investments!B27),"")</f>
        <v/>
      </c>
      <c r="D60" s="109" t="str">
        <f aca="false">IFERROR(IF(Investments!A27="","",Investments!D27),"")</f>
        <v/>
      </c>
      <c r="E60" s="109" t="str">
        <f aca="false">IFERROR(IF(Investments!J27="","",Investments!J27),"")</f>
        <v/>
      </c>
      <c r="F60" s="109" t="str">
        <f aca="false">IFERROR(IF(Investments!A27="","",Investments!G27),"")</f>
        <v/>
      </c>
      <c r="G60" s="94" t="str">
        <f aca="false">IFERROR(IF(Investments!O27="","",Investments!O27),"")</f>
        <v/>
      </c>
      <c r="H60" s="94" t="str">
        <f aca="false">IFERROR(IF(Investments!P27="","",Investments!P27),"")</f>
        <v/>
      </c>
      <c r="I60" s="94" t="str">
        <f aca="false">IFERROR(IF(Investments!Q27="","",Investments!Q27),"")</f>
        <v/>
      </c>
      <c r="J60" s="94" t="str">
        <f aca="false">IFERROR(IF(Investments!U27="","",Investments!U27),"")</f>
        <v/>
      </c>
      <c r="K60" s="94" t="str">
        <f aca="false">IFERROR(IF(Investments!V27="","",Investments!V27),"")</f>
        <v/>
      </c>
      <c r="L60" s="96" t="str">
        <f aca="false">IFERROR(IF(Investments!AB27="","",Investments!AB27),"")</f>
        <v/>
      </c>
      <c r="M60" s="110" t="str">
        <f aca="false">IFERROR(IF(Investments!A27="","",IFERROR(VLOOKUP(Investments!A27,GC_Framework!$A$5:$P$204,2,FALSE()),"")),"")</f>
        <v/>
      </c>
      <c r="N60" s="108" t="str">
        <f aca="false">IFERROR(IF(Investments!A27="","",IFERROR(VLOOKUP(Investments!A27,GC_Framework!$A$5:$P$204,3,FALSE()),"")),"")</f>
        <v/>
      </c>
      <c r="O60" s="109" t="str">
        <f aca="false">IFERROR(IF(Investments!A27="","",IFERROR(VLOOKUP(Investments!A27,GC_Framework!$A$5:$P$204,5,FALSE()),"")),"")</f>
        <v/>
      </c>
      <c r="P60" s="109" t="str">
        <f aca="false">IFERROR(IF(Investments!A27="","",IFERROR(VLOOKUP(Investments!A27,GC_Framework!$A$5:$P$204,9,FALSE()),"")),"")</f>
        <v/>
      </c>
    </row>
    <row r="61" customFormat="false" ht="19.5" hidden="false" customHeight="true" outlineLevel="0" collapsed="false">
      <c r="B61" s="111" t="str">
        <f aca="false">IFERROR(IF(Investments!A28="","",Investments!A28),"")</f>
        <v/>
      </c>
      <c r="C61" s="98" t="str">
        <f aca="false">IFERROR(IF(Investments!B28="","",Investments!B28),"")</f>
        <v/>
      </c>
      <c r="D61" s="112" t="str">
        <f aca="false">IFERROR(IF(Investments!A28="","",Investments!D28),"")</f>
        <v/>
      </c>
      <c r="E61" s="112" t="str">
        <f aca="false">IFERROR(IF(Investments!J28="","",Investments!J28),"")</f>
        <v/>
      </c>
      <c r="F61" s="112" t="str">
        <f aca="false">IFERROR(IF(Investments!A28="","",Investments!G28),"")</f>
        <v/>
      </c>
      <c r="G61" s="99" t="str">
        <f aca="false">IFERROR(IF(Investments!O28="","",Investments!O28),"")</f>
        <v/>
      </c>
      <c r="H61" s="99" t="str">
        <f aca="false">IFERROR(IF(Investments!P28="","",Investments!P28),"")</f>
        <v/>
      </c>
      <c r="I61" s="99" t="str">
        <f aca="false">IFERROR(IF(Investments!Q28="","",Investments!Q28),"")</f>
        <v/>
      </c>
      <c r="J61" s="99" t="str">
        <f aca="false">IFERROR(IF(Investments!U28="","",Investments!U28),"")</f>
        <v/>
      </c>
      <c r="K61" s="99" t="str">
        <f aca="false">IFERROR(IF(Investments!V28="","",Investments!V28),"")</f>
        <v/>
      </c>
      <c r="L61" s="101" t="str">
        <f aca="false">IFERROR(IF(Investments!AB28="","",Investments!AB28),"")</f>
        <v/>
      </c>
      <c r="M61" s="113" t="str">
        <f aca="false">IFERROR(IF(Investments!A28="","",IFERROR(VLOOKUP(Investments!A28,GC_Framework!$A$5:$P$204,2,FALSE()),"")),"")</f>
        <v/>
      </c>
      <c r="N61" s="111" t="str">
        <f aca="false">IFERROR(IF(Investments!A28="","",IFERROR(VLOOKUP(Investments!A28,GC_Framework!$A$5:$P$204,3,FALSE()),"")),"")</f>
        <v/>
      </c>
      <c r="O61" s="112" t="str">
        <f aca="false">IFERROR(IF(Investments!A28="","",IFERROR(VLOOKUP(Investments!A28,GC_Framework!$A$5:$P$204,5,FALSE()),"")),"")</f>
        <v/>
      </c>
      <c r="P61" s="112" t="str">
        <f aca="false">IFERROR(IF(Investments!A28="","",IFERROR(VLOOKUP(Investments!A28,GC_Framework!$A$5:$P$204,9,FALSE()),"")),"")</f>
        <v/>
      </c>
    </row>
    <row r="62" customFormat="false" ht="19.5" hidden="false" customHeight="true" outlineLevel="0" collapsed="false">
      <c r="B62" s="108" t="str">
        <f aca="false">IFERROR(IF(Investments!A29="","",Investments!A29),"")</f>
        <v/>
      </c>
      <c r="C62" s="93" t="str">
        <f aca="false">IFERROR(IF(Investments!B29="","",Investments!B29),"")</f>
        <v/>
      </c>
      <c r="D62" s="109" t="str">
        <f aca="false">IFERROR(IF(Investments!A29="","",Investments!D29),"")</f>
        <v/>
      </c>
      <c r="E62" s="109" t="str">
        <f aca="false">IFERROR(IF(Investments!J29="","",Investments!J29),"")</f>
        <v/>
      </c>
      <c r="F62" s="109" t="str">
        <f aca="false">IFERROR(IF(Investments!A29="","",Investments!G29),"")</f>
        <v/>
      </c>
      <c r="G62" s="94" t="str">
        <f aca="false">IFERROR(IF(Investments!O29="","",Investments!O29),"")</f>
        <v/>
      </c>
      <c r="H62" s="94" t="str">
        <f aca="false">IFERROR(IF(Investments!P29="","",Investments!P29),"")</f>
        <v/>
      </c>
      <c r="I62" s="94" t="str">
        <f aca="false">IFERROR(IF(Investments!Q29="","",Investments!Q29),"")</f>
        <v/>
      </c>
      <c r="J62" s="94" t="str">
        <f aca="false">IFERROR(IF(Investments!U29="","",Investments!U29),"")</f>
        <v/>
      </c>
      <c r="K62" s="94" t="str">
        <f aca="false">IFERROR(IF(Investments!V29="","",Investments!V29),"")</f>
        <v/>
      </c>
      <c r="L62" s="96" t="str">
        <f aca="false">IFERROR(IF(Investments!AB29="","",Investments!AB29),"")</f>
        <v/>
      </c>
      <c r="M62" s="110" t="str">
        <f aca="false">IFERROR(IF(Investments!A29="","",IFERROR(VLOOKUP(Investments!A29,GC_Framework!$A$5:$P$204,2,FALSE()),"")),"")</f>
        <v/>
      </c>
      <c r="N62" s="108" t="str">
        <f aca="false">IFERROR(IF(Investments!A29="","",IFERROR(VLOOKUP(Investments!A29,GC_Framework!$A$5:$P$204,3,FALSE()),"")),"")</f>
        <v/>
      </c>
      <c r="O62" s="109" t="str">
        <f aca="false">IFERROR(IF(Investments!A29="","",IFERROR(VLOOKUP(Investments!A29,GC_Framework!$A$5:$P$204,5,FALSE()),"")),"")</f>
        <v/>
      </c>
      <c r="P62" s="109" t="str">
        <f aca="false">IFERROR(IF(Investments!A29="","",IFERROR(VLOOKUP(Investments!A29,GC_Framework!$A$5:$P$204,9,FALSE()),"")),"")</f>
        <v/>
      </c>
    </row>
    <row r="63" customFormat="false" ht="19.5" hidden="false" customHeight="true" outlineLevel="0" collapsed="false">
      <c r="B63" s="111" t="str">
        <f aca="false">IFERROR(IF(Investments!A30="","",Investments!A30),"")</f>
        <v/>
      </c>
      <c r="C63" s="98" t="str">
        <f aca="false">IFERROR(IF(Investments!B30="","",Investments!B30),"")</f>
        <v/>
      </c>
      <c r="D63" s="112" t="str">
        <f aca="false">IFERROR(IF(Investments!A30="","",Investments!D30),"")</f>
        <v/>
      </c>
      <c r="E63" s="112" t="str">
        <f aca="false">IFERROR(IF(Investments!J30="","",Investments!J30),"")</f>
        <v/>
      </c>
      <c r="F63" s="112" t="str">
        <f aca="false">IFERROR(IF(Investments!A30="","",Investments!G30),"")</f>
        <v/>
      </c>
      <c r="G63" s="99" t="str">
        <f aca="false">IFERROR(IF(Investments!O30="","",Investments!O30),"")</f>
        <v/>
      </c>
      <c r="H63" s="99" t="str">
        <f aca="false">IFERROR(IF(Investments!P30="","",Investments!P30),"")</f>
        <v/>
      </c>
      <c r="I63" s="99" t="str">
        <f aca="false">IFERROR(IF(Investments!Q30="","",Investments!Q30),"")</f>
        <v/>
      </c>
      <c r="J63" s="99" t="str">
        <f aca="false">IFERROR(IF(Investments!U30="","",Investments!U30),"")</f>
        <v/>
      </c>
      <c r="K63" s="99" t="str">
        <f aca="false">IFERROR(IF(Investments!V30="","",Investments!V30),"")</f>
        <v/>
      </c>
      <c r="L63" s="101" t="str">
        <f aca="false">IFERROR(IF(Investments!AB30="","",Investments!AB30),"")</f>
        <v/>
      </c>
      <c r="M63" s="113" t="str">
        <f aca="false">IFERROR(IF(Investments!A30="","",IFERROR(VLOOKUP(Investments!A30,GC_Framework!$A$5:$P$204,2,FALSE()),"")),"")</f>
        <v/>
      </c>
      <c r="N63" s="111" t="str">
        <f aca="false">IFERROR(IF(Investments!A30="","",IFERROR(VLOOKUP(Investments!A30,GC_Framework!$A$5:$P$204,3,FALSE()),"")),"")</f>
        <v/>
      </c>
      <c r="O63" s="112" t="str">
        <f aca="false">IFERROR(IF(Investments!A30="","",IFERROR(VLOOKUP(Investments!A30,GC_Framework!$A$5:$P$204,5,FALSE()),"")),"")</f>
        <v/>
      </c>
      <c r="P63" s="112" t="str">
        <f aca="false">IFERROR(IF(Investments!A30="","",IFERROR(VLOOKUP(Investments!A30,GC_Framework!$A$5:$P$204,9,FALSE()),"")),"")</f>
        <v/>
      </c>
    </row>
    <row r="64" customFormat="false" ht="19.5" hidden="false" customHeight="true" outlineLevel="0" collapsed="false">
      <c r="B64" s="108" t="str">
        <f aca="false">IFERROR(IF(Investments!A31="","",Investments!A31),"")</f>
        <v/>
      </c>
      <c r="C64" s="93" t="str">
        <f aca="false">IFERROR(IF(Investments!B31="","",Investments!B31),"")</f>
        <v/>
      </c>
      <c r="D64" s="109" t="str">
        <f aca="false">IFERROR(IF(Investments!A31="","",Investments!D31),"")</f>
        <v/>
      </c>
      <c r="E64" s="109" t="str">
        <f aca="false">IFERROR(IF(Investments!J31="","",Investments!J31),"")</f>
        <v/>
      </c>
      <c r="F64" s="109" t="str">
        <f aca="false">IFERROR(IF(Investments!A31="","",Investments!G31),"")</f>
        <v/>
      </c>
      <c r="G64" s="94" t="str">
        <f aca="false">IFERROR(IF(Investments!O31="","",Investments!O31),"")</f>
        <v/>
      </c>
      <c r="H64" s="94" t="str">
        <f aca="false">IFERROR(IF(Investments!P31="","",Investments!P31),"")</f>
        <v/>
      </c>
      <c r="I64" s="94" t="str">
        <f aca="false">IFERROR(IF(Investments!Q31="","",Investments!Q31),"")</f>
        <v/>
      </c>
      <c r="J64" s="94" t="str">
        <f aca="false">IFERROR(IF(Investments!U31="","",Investments!U31),"")</f>
        <v/>
      </c>
      <c r="K64" s="94" t="str">
        <f aca="false">IFERROR(IF(Investments!V31="","",Investments!V31),"")</f>
        <v/>
      </c>
      <c r="L64" s="96" t="str">
        <f aca="false">IFERROR(IF(Investments!AB31="","",Investments!AB31),"")</f>
        <v/>
      </c>
      <c r="M64" s="110" t="str">
        <f aca="false">IFERROR(IF(Investments!A31="","",IFERROR(VLOOKUP(Investments!A31,GC_Framework!$A$5:$P$204,2,FALSE()),"")),"")</f>
        <v/>
      </c>
      <c r="N64" s="108" t="str">
        <f aca="false">IFERROR(IF(Investments!A31="","",IFERROR(VLOOKUP(Investments!A31,GC_Framework!$A$5:$P$204,3,FALSE()),"")),"")</f>
        <v/>
      </c>
      <c r="O64" s="109" t="str">
        <f aca="false">IFERROR(IF(Investments!A31="","",IFERROR(VLOOKUP(Investments!A31,GC_Framework!$A$5:$P$204,5,FALSE()),"")),"")</f>
        <v/>
      </c>
      <c r="P64" s="109" t="str">
        <f aca="false">IFERROR(IF(Investments!A31="","",IFERROR(VLOOKUP(Investments!A31,GC_Framework!$A$5:$P$204,9,FALSE()),"")),"")</f>
        <v/>
      </c>
    </row>
    <row r="65" customFormat="false" ht="19.5" hidden="false" customHeight="true" outlineLevel="0" collapsed="false">
      <c r="B65" s="111" t="str">
        <f aca="false">IFERROR(IF(Investments!A32="","",Investments!A32),"")</f>
        <v/>
      </c>
      <c r="C65" s="98" t="str">
        <f aca="false">IFERROR(IF(Investments!B32="","",Investments!B32),"")</f>
        <v/>
      </c>
      <c r="D65" s="112" t="str">
        <f aca="false">IFERROR(IF(Investments!A32="","",Investments!D32),"")</f>
        <v/>
      </c>
      <c r="E65" s="112" t="str">
        <f aca="false">IFERROR(IF(Investments!J32="","",Investments!J32),"")</f>
        <v/>
      </c>
      <c r="F65" s="112" t="str">
        <f aca="false">IFERROR(IF(Investments!A32="","",Investments!G32),"")</f>
        <v/>
      </c>
      <c r="G65" s="99" t="str">
        <f aca="false">IFERROR(IF(Investments!O32="","",Investments!O32),"")</f>
        <v/>
      </c>
      <c r="H65" s="99" t="str">
        <f aca="false">IFERROR(IF(Investments!P32="","",Investments!P32),"")</f>
        <v/>
      </c>
      <c r="I65" s="99" t="str">
        <f aca="false">IFERROR(IF(Investments!Q32="","",Investments!Q32),"")</f>
        <v/>
      </c>
      <c r="J65" s="99" t="str">
        <f aca="false">IFERROR(IF(Investments!U32="","",Investments!U32),"")</f>
        <v/>
      </c>
      <c r="K65" s="99" t="str">
        <f aca="false">IFERROR(IF(Investments!V32="","",Investments!V32),"")</f>
        <v/>
      </c>
      <c r="L65" s="101" t="str">
        <f aca="false">IFERROR(IF(Investments!AB32="","",Investments!AB32),"")</f>
        <v/>
      </c>
      <c r="M65" s="113" t="str">
        <f aca="false">IFERROR(IF(Investments!A32="","",IFERROR(VLOOKUP(Investments!A32,GC_Framework!$A$5:$P$204,2,FALSE()),"")),"")</f>
        <v/>
      </c>
      <c r="N65" s="111" t="str">
        <f aca="false">IFERROR(IF(Investments!A32="","",IFERROR(VLOOKUP(Investments!A32,GC_Framework!$A$5:$P$204,3,FALSE()),"")),"")</f>
        <v/>
      </c>
      <c r="O65" s="112" t="str">
        <f aca="false">IFERROR(IF(Investments!A32="","",IFERROR(VLOOKUP(Investments!A32,GC_Framework!$A$5:$P$204,5,FALSE()),"")),"")</f>
        <v/>
      </c>
      <c r="P65" s="112" t="str">
        <f aca="false">IFERROR(IF(Investments!A32="","",IFERROR(VLOOKUP(Investments!A32,GC_Framework!$A$5:$P$204,9,FALSE()),"")),"")</f>
        <v/>
      </c>
    </row>
    <row r="66" customFormat="false" ht="19.5" hidden="false" customHeight="true" outlineLevel="0" collapsed="false">
      <c r="B66" s="108" t="str">
        <f aca="false">IFERROR(IF(Investments!A33="","",Investments!A33),"")</f>
        <v/>
      </c>
      <c r="C66" s="93" t="str">
        <f aca="false">IFERROR(IF(Investments!B33="","",Investments!B33),"")</f>
        <v/>
      </c>
      <c r="D66" s="109" t="str">
        <f aca="false">IFERROR(IF(Investments!A33="","",Investments!D33),"")</f>
        <v/>
      </c>
      <c r="E66" s="109" t="str">
        <f aca="false">IFERROR(IF(Investments!J33="","",Investments!J33),"")</f>
        <v/>
      </c>
      <c r="F66" s="109" t="str">
        <f aca="false">IFERROR(IF(Investments!A33="","",Investments!G33),"")</f>
        <v/>
      </c>
      <c r="G66" s="94" t="str">
        <f aca="false">IFERROR(IF(Investments!O33="","",Investments!O33),"")</f>
        <v/>
      </c>
      <c r="H66" s="94" t="str">
        <f aca="false">IFERROR(IF(Investments!P33="","",Investments!P33),"")</f>
        <v/>
      </c>
      <c r="I66" s="94" t="str">
        <f aca="false">IFERROR(IF(Investments!Q33="","",Investments!Q33),"")</f>
        <v/>
      </c>
      <c r="J66" s="94" t="str">
        <f aca="false">IFERROR(IF(Investments!U33="","",Investments!U33),"")</f>
        <v/>
      </c>
      <c r="K66" s="94" t="str">
        <f aca="false">IFERROR(IF(Investments!V33="","",Investments!V33),"")</f>
        <v/>
      </c>
      <c r="L66" s="96" t="str">
        <f aca="false">IFERROR(IF(Investments!AB33="","",Investments!AB33),"")</f>
        <v/>
      </c>
      <c r="M66" s="110" t="str">
        <f aca="false">IFERROR(IF(Investments!A33="","",IFERROR(VLOOKUP(Investments!A33,GC_Framework!$A$5:$P$204,2,FALSE()),"")),"")</f>
        <v/>
      </c>
      <c r="N66" s="108" t="str">
        <f aca="false">IFERROR(IF(Investments!A33="","",IFERROR(VLOOKUP(Investments!A33,GC_Framework!$A$5:$P$204,3,FALSE()),"")),"")</f>
        <v/>
      </c>
      <c r="O66" s="109" t="str">
        <f aca="false">IFERROR(IF(Investments!A33="","",IFERROR(VLOOKUP(Investments!A33,GC_Framework!$A$5:$P$204,5,FALSE()),"")),"")</f>
        <v/>
      </c>
      <c r="P66" s="109" t="str">
        <f aca="false">IFERROR(IF(Investments!A33="","",IFERROR(VLOOKUP(Investments!A33,GC_Framework!$A$5:$P$204,9,FALSE()),"")),"")</f>
        <v/>
      </c>
    </row>
    <row r="67" customFormat="false" ht="19.5" hidden="false" customHeight="true" outlineLevel="0" collapsed="false">
      <c r="B67" s="111" t="str">
        <f aca="false">IFERROR(IF(Investments!A34="","",Investments!A34),"")</f>
        <v/>
      </c>
      <c r="C67" s="98" t="str">
        <f aca="false">IFERROR(IF(Investments!B34="","",Investments!B34),"")</f>
        <v/>
      </c>
      <c r="D67" s="112" t="str">
        <f aca="false">IFERROR(IF(Investments!A34="","",Investments!D34),"")</f>
        <v/>
      </c>
      <c r="E67" s="112" t="str">
        <f aca="false">IFERROR(IF(Investments!J34="","",Investments!J34),"")</f>
        <v/>
      </c>
      <c r="F67" s="112" t="str">
        <f aca="false">IFERROR(IF(Investments!A34="","",Investments!G34),"")</f>
        <v/>
      </c>
      <c r="G67" s="99" t="str">
        <f aca="false">IFERROR(IF(Investments!O34="","",Investments!O34),"")</f>
        <v/>
      </c>
      <c r="H67" s="99" t="str">
        <f aca="false">IFERROR(IF(Investments!P34="","",Investments!P34),"")</f>
        <v/>
      </c>
      <c r="I67" s="99" t="str">
        <f aca="false">IFERROR(IF(Investments!Q34="","",Investments!Q34),"")</f>
        <v/>
      </c>
      <c r="J67" s="99" t="str">
        <f aca="false">IFERROR(IF(Investments!U34="","",Investments!U34),"")</f>
        <v/>
      </c>
      <c r="K67" s="99" t="str">
        <f aca="false">IFERROR(IF(Investments!V34="","",Investments!V34),"")</f>
        <v/>
      </c>
      <c r="L67" s="101" t="str">
        <f aca="false">IFERROR(IF(Investments!AB34="","",Investments!AB34),"")</f>
        <v/>
      </c>
      <c r="M67" s="113" t="str">
        <f aca="false">IFERROR(IF(Investments!A34="","",IFERROR(VLOOKUP(Investments!A34,GC_Framework!$A$5:$P$204,2,FALSE()),"")),"")</f>
        <v/>
      </c>
      <c r="N67" s="111" t="str">
        <f aca="false">IFERROR(IF(Investments!A34="","",IFERROR(VLOOKUP(Investments!A34,GC_Framework!$A$5:$P$204,3,FALSE()),"")),"")</f>
        <v/>
      </c>
      <c r="O67" s="112" t="str">
        <f aca="false">IFERROR(IF(Investments!A34="","",IFERROR(VLOOKUP(Investments!A34,GC_Framework!$A$5:$P$204,5,FALSE()),"")),"")</f>
        <v/>
      </c>
      <c r="P67" s="112" t="str">
        <f aca="false">IFERROR(IF(Investments!A34="","",IFERROR(VLOOKUP(Investments!A34,GC_Framework!$A$5:$P$204,9,FALSE()),"")),"")</f>
        <v/>
      </c>
    </row>
    <row r="68" customFormat="false" ht="19.5" hidden="false" customHeight="true" outlineLevel="0" collapsed="false">
      <c r="B68" s="108" t="str">
        <f aca="false">IFERROR(IF(Investments!A35="","",Investments!A35),"")</f>
        <v/>
      </c>
      <c r="C68" s="93" t="str">
        <f aca="false">IFERROR(IF(Investments!B35="","",Investments!B35),"")</f>
        <v/>
      </c>
      <c r="D68" s="109" t="str">
        <f aca="false">IFERROR(IF(Investments!A35="","",Investments!D35),"")</f>
        <v/>
      </c>
      <c r="E68" s="109" t="str">
        <f aca="false">IFERROR(IF(Investments!J35="","",Investments!J35),"")</f>
        <v/>
      </c>
      <c r="F68" s="109" t="str">
        <f aca="false">IFERROR(IF(Investments!A35="","",Investments!G35),"")</f>
        <v/>
      </c>
      <c r="G68" s="94" t="str">
        <f aca="false">IFERROR(IF(Investments!O35="","",Investments!O35),"")</f>
        <v/>
      </c>
      <c r="H68" s="94" t="str">
        <f aca="false">IFERROR(IF(Investments!P35="","",Investments!P35),"")</f>
        <v/>
      </c>
      <c r="I68" s="94" t="str">
        <f aca="false">IFERROR(IF(Investments!Q35="","",Investments!Q35),"")</f>
        <v/>
      </c>
      <c r="J68" s="94" t="str">
        <f aca="false">IFERROR(IF(Investments!U35="","",Investments!U35),"")</f>
        <v/>
      </c>
      <c r="K68" s="94" t="str">
        <f aca="false">IFERROR(IF(Investments!V35="","",Investments!V35),"")</f>
        <v/>
      </c>
      <c r="L68" s="96" t="str">
        <f aca="false">IFERROR(IF(Investments!AB35="","",Investments!AB35),"")</f>
        <v/>
      </c>
      <c r="M68" s="110" t="str">
        <f aca="false">IFERROR(IF(Investments!A35="","",IFERROR(VLOOKUP(Investments!A35,GC_Framework!$A$5:$P$204,2,FALSE()),"")),"")</f>
        <v/>
      </c>
      <c r="N68" s="108" t="str">
        <f aca="false">IFERROR(IF(Investments!A35="","",IFERROR(VLOOKUP(Investments!A35,GC_Framework!$A$5:$P$204,3,FALSE()),"")),"")</f>
        <v/>
      </c>
      <c r="O68" s="109" t="str">
        <f aca="false">IFERROR(IF(Investments!A35="","",IFERROR(VLOOKUP(Investments!A35,GC_Framework!$A$5:$P$204,5,FALSE()),"")),"")</f>
        <v/>
      </c>
      <c r="P68" s="109" t="str">
        <f aca="false">IFERROR(IF(Investments!A35="","",IFERROR(VLOOKUP(Investments!A35,GC_Framework!$A$5:$P$204,9,FALSE()),"")),"")</f>
        <v/>
      </c>
    </row>
    <row r="69" customFormat="false" ht="19.5" hidden="false" customHeight="true" outlineLevel="0" collapsed="false">
      <c r="B69" s="111" t="str">
        <f aca="false">IFERROR(IF(Investments!A36="","",Investments!A36),"")</f>
        <v/>
      </c>
      <c r="C69" s="98" t="str">
        <f aca="false">IFERROR(IF(Investments!B36="","",Investments!B36),"")</f>
        <v/>
      </c>
      <c r="D69" s="112" t="str">
        <f aca="false">IFERROR(IF(Investments!A36="","",Investments!D36),"")</f>
        <v/>
      </c>
      <c r="E69" s="112" t="str">
        <f aca="false">IFERROR(IF(Investments!J36="","",Investments!J36),"")</f>
        <v/>
      </c>
      <c r="F69" s="112" t="str">
        <f aca="false">IFERROR(IF(Investments!A36="","",Investments!G36),"")</f>
        <v/>
      </c>
      <c r="G69" s="99" t="str">
        <f aca="false">IFERROR(IF(Investments!O36="","",Investments!O36),"")</f>
        <v/>
      </c>
      <c r="H69" s="99" t="str">
        <f aca="false">IFERROR(IF(Investments!P36="","",Investments!P36),"")</f>
        <v/>
      </c>
      <c r="I69" s="99" t="str">
        <f aca="false">IFERROR(IF(Investments!Q36="","",Investments!Q36),"")</f>
        <v/>
      </c>
      <c r="J69" s="99" t="str">
        <f aca="false">IFERROR(IF(Investments!U36="","",Investments!U36),"")</f>
        <v/>
      </c>
      <c r="K69" s="99" t="str">
        <f aca="false">IFERROR(IF(Investments!V36="","",Investments!V36),"")</f>
        <v/>
      </c>
      <c r="L69" s="101" t="str">
        <f aca="false">IFERROR(IF(Investments!AB36="","",Investments!AB36),"")</f>
        <v/>
      </c>
      <c r="M69" s="113" t="str">
        <f aca="false">IFERROR(IF(Investments!A36="","",IFERROR(VLOOKUP(Investments!A36,GC_Framework!$A$5:$P$204,2,FALSE()),"")),"")</f>
        <v/>
      </c>
      <c r="N69" s="111" t="str">
        <f aca="false">IFERROR(IF(Investments!A36="","",IFERROR(VLOOKUP(Investments!A36,GC_Framework!$A$5:$P$204,3,FALSE()),"")),"")</f>
        <v/>
      </c>
      <c r="O69" s="112" t="str">
        <f aca="false">IFERROR(IF(Investments!A36="","",IFERROR(VLOOKUP(Investments!A36,GC_Framework!$A$5:$P$204,5,FALSE()),"")),"")</f>
        <v/>
      </c>
      <c r="P69" s="112" t="str">
        <f aca="false">IFERROR(IF(Investments!A36="","",IFERROR(VLOOKUP(Investments!A36,GC_Framework!$A$5:$P$204,9,FALSE()),"")),"")</f>
        <v/>
      </c>
    </row>
    <row r="70" customFormat="false" ht="19.5" hidden="false" customHeight="true" outlineLevel="0" collapsed="false">
      <c r="B70" s="108" t="str">
        <f aca="false">IFERROR(IF(Investments!A37="","",Investments!A37),"")</f>
        <v/>
      </c>
      <c r="C70" s="93" t="str">
        <f aca="false">IFERROR(IF(Investments!B37="","",Investments!B37),"")</f>
        <v/>
      </c>
      <c r="D70" s="109" t="str">
        <f aca="false">IFERROR(IF(Investments!A37="","",Investments!D37),"")</f>
        <v/>
      </c>
      <c r="E70" s="109" t="str">
        <f aca="false">IFERROR(IF(Investments!J37="","",Investments!J37),"")</f>
        <v/>
      </c>
      <c r="F70" s="109" t="str">
        <f aca="false">IFERROR(IF(Investments!A37="","",Investments!G37),"")</f>
        <v/>
      </c>
      <c r="G70" s="94" t="str">
        <f aca="false">IFERROR(IF(Investments!O37="","",Investments!O37),"")</f>
        <v/>
      </c>
      <c r="H70" s="94" t="str">
        <f aca="false">IFERROR(IF(Investments!P37="","",Investments!P37),"")</f>
        <v/>
      </c>
      <c r="I70" s="94" t="str">
        <f aca="false">IFERROR(IF(Investments!Q37="","",Investments!Q37),"")</f>
        <v/>
      </c>
      <c r="J70" s="94" t="str">
        <f aca="false">IFERROR(IF(Investments!U37="","",Investments!U37),"")</f>
        <v/>
      </c>
      <c r="K70" s="94" t="str">
        <f aca="false">IFERROR(IF(Investments!V37="","",Investments!V37),"")</f>
        <v/>
      </c>
      <c r="L70" s="96" t="str">
        <f aca="false">IFERROR(IF(Investments!AB37="","",Investments!AB37),"")</f>
        <v/>
      </c>
      <c r="M70" s="110" t="str">
        <f aca="false">IFERROR(IF(Investments!A37="","",IFERROR(VLOOKUP(Investments!A37,GC_Framework!$A$5:$P$204,2,FALSE()),"")),"")</f>
        <v/>
      </c>
      <c r="N70" s="108" t="str">
        <f aca="false">IFERROR(IF(Investments!A37="","",IFERROR(VLOOKUP(Investments!A37,GC_Framework!$A$5:$P$204,3,FALSE()),"")),"")</f>
        <v/>
      </c>
      <c r="O70" s="109" t="str">
        <f aca="false">IFERROR(IF(Investments!A37="","",IFERROR(VLOOKUP(Investments!A37,GC_Framework!$A$5:$P$204,5,FALSE()),"")),"")</f>
        <v/>
      </c>
      <c r="P70" s="109" t="str">
        <f aca="false">IFERROR(IF(Investments!A37="","",IFERROR(VLOOKUP(Investments!A37,GC_Framework!$A$5:$P$204,9,FALSE()),"")),"")</f>
        <v/>
      </c>
    </row>
    <row r="71" customFormat="false" ht="19.5" hidden="false" customHeight="true" outlineLevel="0" collapsed="false">
      <c r="B71" s="111" t="str">
        <f aca="false">IFERROR(IF(Investments!A38="","",Investments!A38),"")</f>
        <v/>
      </c>
      <c r="C71" s="98" t="str">
        <f aca="false">IFERROR(IF(Investments!B38="","",Investments!B38),"")</f>
        <v/>
      </c>
      <c r="D71" s="112" t="str">
        <f aca="false">IFERROR(IF(Investments!A38="","",Investments!D38),"")</f>
        <v/>
      </c>
      <c r="E71" s="112" t="str">
        <f aca="false">IFERROR(IF(Investments!J38="","",Investments!J38),"")</f>
        <v/>
      </c>
      <c r="F71" s="112" t="str">
        <f aca="false">IFERROR(IF(Investments!A38="","",Investments!G38),"")</f>
        <v/>
      </c>
      <c r="G71" s="99" t="str">
        <f aca="false">IFERROR(IF(Investments!O38="","",Investments!O38),"")</f>
        <v/>
      </c>
      <c r="H71" s="99" t="str">
        <f aca="false">IFERROR(IF(Investments!P38="","",Investments!P38),"")</f>
        <v/>
      </c>
      <c r="I71" s="99" t="str">
        <f aca="false">IFERROR(IF(Investments!Q38="","",Investments!Q38),"")</f>
        <v/>
      </c>
      <c r="J71" s="99" t="str">
        <f aca="false">IFERROR(IF(Investments!U38="","",Investments!U38),"")</f>
        <v/>
      </c>
      <c r="K71" s="99" t="str">
        <f aca="false">IFERROR(IF(Investments!V38="","",Investments!V38),"")</f>
        <v/>
      </c>
      <c r="L71" s="101" t="str">
        <f aca="false">IFERROR(IF(Investments!AB38="","",Investments!AB38),"")</f>
        <v/>
      </c>
      <c r="M71" s="113" t="str">
        <f aca="false">IFERROR(IF(Investments!A38="","",IFERROR(VLOOKUP(Investments!A38,GC_Framework!$A$5:$P$204,2,FALSE()),"")),"")</f>
        <v/>
      </c>
      <c r="N71" s="111" t="str">
        <f aca="false">IFERROR(IF(Investments!A38="","",IFERROR(VLOOKUP(Investments!A38,GC_Framework!$A$5:$P$204,3,FALSE()),"")),"")</f>
        <v/>
      </c>
      <c r="O71" s="112" t="str">
        <f aca="false">IFERROR(IF(Investments!A38="","",IFERROR(VLOOKUP(Investments!A38,GC_Framework!$A$5:$P$204,5,FALSE()),"")),"")</f>
        <v/>
      </c>
      <c r="P71" s="112" t="str">
        <f aca="false">IFERROR(IF(Investments!A38="","",IFERROR(VLOOKUP(Investments!A38,GC_Framework!$A$5:$P$204,9,FALSE()),"")),"")</f>
        <v/>
      </c>
    </row>
    <row r="72" customFormat="false" ht="19.5" hidden="false" customHeight="true" outlineLevel="0" collapsed="false">
      <c r="B72" s="108" t="str">
        <f aca="false">IFERROR(IF(Investments!A39="","",Investments!A39),"")</f>
        <v/>
      </c>
      <c r="C72" s="93" t="str">
        <f aca="false">IFERROR(IF(Investments!B39="","",Investments!B39),"")</f>
        <v/>
      </c>
      <c r="D72" s="109" t="str">
        <f aca="false">IFERROR(IF(Investments!A39="","",Investments!D39),"")</f>
        <v/>
      </c>
      <c r="E72" s="109" t="str">
        <f aca="false">IFERROR(IF(Investments!J39="","",Investments!J39),"")</f>
        <v/>
      </c>
      <c r="F72" s="109" t="str">
        <f aca="false">IFERROR(IF(Investments!A39="","",Investments!G39),"")</f>
        <v/>
      </c>
      <c r="G72" s="94" t="str">
        <f aca="false">IFERROR(IF(Investments!O39="","",Investments!O39),"")</f>
        <v/>
      </c>
      <c r="H72" s="94" t="str">
        <f aca="false">IFERROR(IF(Investments!P39="","",Investments!P39),"")</f>
        <v/>
      </c>
      <c r="I72" s="94" t="str">
        <f aca="false">IFERROR(IF(Investments!Q39="","",Investments!Q39),"")</f>
        <v/>
      </c>
      <c r="J72" s="94" t="str">
        <f aca="false">IFERROR(IF(Investments!U39="","",Investments!U39),"")</f>
        <v/>
      </c>
      <c r="K72" s="94" t="str">
        <f aca="false">IFERROR(IF(Investments!V39="","",Investments!V39),"")</f>
        <v/>
      </c>
      <c r="L72" s="96" t="str">
        <f aca="false">IFERROR(IF(Investments!AB39="","",Investments!AB39),"")</f>
        <v/>
      </c>
      <c r="M72" s="110" t="str">
        <f aca="false">IFERROR(IF(Investments!A39="","",IFERROR(VLOOKUP(Investments!A39,GC_Framework!$A$5:$P$204,2,FALSE()),"")),"")</f>
        <v/>
      </c>
      <c r="N72" s="108" t="str">
        <f aca="false">IFERROR(IF(Investments!A39="","",IFERROR(VLOOKUP(Investments!A39,GC_Framework!$A$5:$P$204,3,FALSE()),"")),"")</f>
        <v/>
      </c>
      <c r="O72" s="109" t="str">
        <f aca="false">IFERROR(IF(Investments!A39="","",IFERROR(VLOOKUP(Investments!A39,GC_Framework!$A$5:$P$204,5,FALSE()),"")),"")</f>
        <v/>
      </c>
      <c r="P72" s="109" t="str">
        <f aca="false">IFERROR(IF(Investments!A39="","",IFERROR(VLOOKUP(Investments!A39,GC_Framework!$A$5:$P$204,9,FALSE()),"")),"")</f>
        <v/>
      </c>
    </row>
    <row r="73" customFormat="false" ht="19.5" hidden="false" customHeight="true" outlineLevel="0" collapsed="false">
      <c r="B73" s="111" t="str">
        <f aca="false">IFERROR(IF(Investments!A40="","",Investments!A40),"")</f>
        <v/>
      </c>
      <c r="C73" s="98" t="str">
        <f aca="false">IFERROR(IF(Investments!B40="","",Investments!B40),"")</f>
        <v/>
      </c>
      <c r="D73" s="112" t="str">
        <f aca="false">IFERROR(IF(Investments!A40="","",Investments!D40),"")</f>
        <v/>
      </c>
      <c r="E73" s="112" t="str">
        <f aca="false">IFERROR(IF(Investments!J40="","",Investments!J40),"")</f>
        <v/>
      </c>
      <c r="F73" s="112" t="str">
        <f aca="false">IFERROR(IF(Investments!A40="","",Investments!G40),"")</f>
        <v/>
      </c>
      <c r="G73" s="99" t="str">
        <f aca="false">IFERROR(IF(Investments!O40="","",Investments!O40),"")</f>
        <v/>
      </c>
      <c r="H73" s="99" t="str">
        <f aca="false">IFERROR(IF(Investments!P40="","",Investments!P40),"")</f>
        <v/>
      </c>
      <c r="I73" s="99" t="str">
        <f aca="false">IFERROR(IF(Investments!Q40="","",Investments!Q40),"")</f>
        <v/>
      </c>
      <c r="J73" s="99" t="str">
        <f aca="false">IFERROR(IF(Investments!U40="","",Investments!U40),"")</f>
        <v/>
      </c>
      <c r="K73" s="99" t="str">
        <f aca="false">IFERROR(IF(Investments!V40="","",Investments!V40),"")</f>
        <v/>
      </c>
      <c r="L73" s="101" t="str">
        <f aca="false">IFERROR(IF(Investments!AB40="","",Investments!AB40),"")</f>
        <v/>
      </c>
      <c r="M73" s="113" t="str">
        <f aca="false">IFERROR(IF(Investments!A40="","",IFERROR(VLOOKUP(Investments!A40,GC_Framework!$A$5:$P$204,2,FALSE()),"")),"")</f>
        <v/>
      </c>
      <c r="N73" s="111" t="str">
        <f aca="false">IFERROR(IF(Investments!A40="","",IFERROR(VLOOKUP(Investments!A40,GC_Framework!$A$5:$P$204,3,FALSE()),"")),"")</f>
        <v/>
      </c>
      <c r="O73" s="112" t="str">
        <f aca="false">IFERROR(IF(Investments!A40="","",IFERROR(VLOOKUP(Investments!A40,GC_Framework!$A$5:$P$204,5,FALSE()),"")),"")</f>
        <v/>
      </c>
      <c r="P73" s="112" t="str">
        <f aca="false">IFERROR(IF(Investments!A40="","",IFERROR(VLOOKUP(Investments!A40,GC_Framework!$A$5:$P$204,9,FALSE()),"")),"")</f>
        <v/>
      </c>
    </row>
    <row r="74" customFormat="false" ht="19.5" hidden="false" customHeight="true" outlineLevel="0" collapsed="false">
      <c r="B74" s="108" t="str">
        <f aca="false">IFERROR(IF(Investments!A41="","",Investments!A41),"")</f>
        <v/>
      </c>
      <c r="C74" s="93" t="str">
        <f aca="false">IFERROR(IF(Investments!B41="","",Investments!B41),"")</f>
        <v/>
      </c>
      <c r="D74" s="109" t="str">
        <f aca="false">IFERROR(IF(Investments!A41="","",Investments!D41),"")</f>
        <v/>
      </c>
      <c r="E74" s="109" t="str">
        <f aca="false">IFERROR(IF(Investments!J41="","",Investments!J41),"")</f>
        <v/>
      </c>
      <c r="F74" s="109" t="str">
        <f aca="false">IFERROR(IF(Investments!A41="","",Investments!G41),"")</f>
        <v/>
      </c>
      <c r="G74" s="94" t="str">
        <f aca="false">IFERROR(IF(Investments!O41="","",Investments!O41),"")</f>
        <v/>
      </c>
      <c r="H74" s="94" t="str">
        <f aca="false">IFERROR(IF(Investments!P41="","",Investments!P41),"")</f>
        <v/>
      </c>
      <c r="I74" s="94" t="str">
        <f aca="false">IFERROR(IF(Investments!Q41="","",Investments!Q41),"")</f>
        <v/>
      </c>
      <c r="J74" s="94" t="str">
        <f aca="false">IFERROR(IF(Investments!U41="","",Investments!U41),"")</f>
        <v/>
      </c>
      <c r="K74" s="94" t="str">
        <f aca="false">IFERROR(IF(Investments!V41="","",Investments!V41),"")</f>
        <v/>
      </c>
      <c r="L74" s="96" t="str">
        <f aca="false">IFERROR(IF(Investments!AB41="","",Investments!AB41),"")</f>
        <v/>
      </c>
      <c r="M74" s="110" t="str">
        <f aca="false">IFERROR(IF(Investments!A41="","",IFERROR(VLOOKUP(Investments!A41,GC_Framework!$A$5:$P$204,2,FALSE()),"")),"")</f>
        <v/>
      </c>
      <c r="N74" s="108" t="str">
        <f aca="false">IFERROR(IF(Investments!A41="","",IFERROR(VLOOKUP(Investments!A41,GC_Framework!$A$5:$P$204,3,FALSE()),"")),"")</f>
        <v/>
      </c>
      <c r="O74" s="109" t="str">
        <f aca="false">IFERROR(IF(Investments!A41="","",IFERROR(VLOOKUP(Investments!A41,GC_Framework!$A$5:$P$204,5,FALSE()),"")),"")</f>
        <v/>
      </c>
      <c r="P74" s="109" t="str">
        <f aca="false">IFERROR(IF(Investments!A41="","",IFERROR(VLOOKUP(Investments!A41,GC_Framework!$A$5:$P$204,9,FALSE()),"")),"")</f>
        <v/>
      </c>
    </row>
    <row r="75" customFormat="false" ht="19.5" hidden="false" customHeight="true" outlineLevel="0" collapsed="false">
      <c r="B75" s="111" t="str">
        <f aca="false">IFERROR(IF(Investments!A42="","",Investments!A42),"")</f>
        <v/>
      </c>
      <c r="C75" s="98" t="str">
        <f aca="false">IFERROR(IF(Investments!B42="","",Investments!B42),"")</f>
        <v/>
      </c>
      <c r="D75" s="112" t="str">
        <f aca="false">IFERROR(IF(Investments!A42="","",Investments!D42),"")</f>
        <v/>
      </c>
      <c r="E75" s="112" t="str">
        <f aca="false">IFERROR(IF(Investments!J42="","",Investments!J42),"")</f>
        <v/>
      </c>
      <c r="F75" s="112" t="str">
        <f aca="false">IFERROR(IF(Investments!A42="","",Investments!G42),"")</f>
        <v/>
      </c>
      <c r="G75" s="99" t="str">
        <f aca="false">IFERROR(IF(Investments!O42="","",Investments!O42),"")</f>
        <v/>
      </c>
      <c r="H75" s="99" t="str">
        <f aca="false">IFERROR(IF(Investments!P42="","",Investments!P42),"")</f>
        <v/>
      </c>
      <c r="I75" s="99" t="str">
        <f aca="false">IFERROR(IF(Investments!Q42="","",Investments!Q42),"")</f>
        <v/>
      </c>
      <c r="J75" s="99" t="str">
        <f aca="false">IFERROR(IF(Investments!U42="","",Investments!U42),"")</f>
        <v/>
      </c>
      <c r="K75" s="99" t="str">
        <f aca="false">IFERROR(IF(Investments!V42="","",Investments!V42),"")</f>
        <v/>
      </c>
      <c r="L75" s="101" t="str">
        <f aca="false">IFERROR(IF(Investments!AB42="","",Investments!AB42),"")</f>
        <v/>
      </c>
      <c r="M75" s="113" t="str">
        <f aca="false">IFERROR(IF(Investments!A42="","",IFERROR(VLOOKUP(Investments!A42,GC_Framework!$A$5:$P$204,2,FALSE()),"")),"")</f>
        <v/>
      </c>
      <c r="N75" s="111" t="str">
        <f aca="false">IFERROR(IF(Investments!A42="","",IFERROR(VLOOKUP(Investments!A42,GC_Framework!$A$5:$P$204,3,FALSE()),"")),"")</f>
        <v/>
      </c>
      <c r="O75" s="112" t="str">
        <f aca="false">IFERROR(IF(Investments!A42="","",IFERROR(VLOOKUP(Investments!A42,GC_Framework!$A$5:$P$204,5,FALSE()),"")),"")</f>
        <v/>
      </c>
      <c r="P75" s="112" t="str">
        <f aca="false">IFERROR(IF(Investments!A42="","",IFERROR(VLOOKUP(Investments!A42,GC_Framework!$A$5:$P$204,9,FALSE()),"")),"")</f>
        <v/>
      </c>
    </row>
    <row r="76" customFormat="false" ht="19.5" hidden="false" customHeight="true" outlineLevel="0" collapsed="false">
      <c r="B76" s="108" t="str">
        <f aca="false">IFERROR(IF(Investments!A43="","",Investments!A43),"")</f>
        <v/>
      </c>
      <c r="C76" s="93" t="str">
        <f aca="false">IFERROR(IF(Investments!B43="","",Investments!B43),"")</f>
        <v/>
      </c>
      <c r="D76" s="109" t="str">
        <f aca="false">IFERROR(IF(Investments!A43="","",Investments!D43),"")</f>
        <v/>
      </c>
      <c r="E76" s="109" t="str">
        <f aca="false">IFERROR(IF(Investments!J43="","",Investments!J43),"")</f>
        <v/>
      </c>
      <c r="F76" s="109" t="str">
        <f aca="false">IFERROR(IF(Investments!A43="","",Investments!G43),"")</f>
        <v/>
      </c>
      <c r="G76" s="94" t="str">
        <f aca="false">IFERROR(IF(Investments!O43="","",Investments!O43),"")</f>
        <v/>
      </c>
      <c r="H76" s="94" t="str">
        <f aca="false">IFERROR(IF(Investments!P43="","",Investments!P43),"")</f>
        <v/>
      </c>
      <c r="I76" s="94" t="str">
        <f aca="false">IFERROR(IF(Investments!Q43="","",Investments!Q43),"")</f>
        <v/>
      </c>
      <c r="J76" s="94" t="str">
        <f aca="false">IFERROR(IF(Investments!U43="","",Investments!U43),"")</f>
        <v/>
      </c>
      <c r="K76" s="94" t="str">
        <f aca="false">IFERROR(IF(Investments!V43="","",Investments!V43),"")</f>
        <v/>
      </c>
      <c r="L76" s="96" t="str">
        <f aca="false">IFERROR(IF(Investments!AB43="","",Investments!AB43),"")</f>
        <v/>
      </c>
      <c r="M76" s="110" t="str">
        <f aca="false">IFERROR(IF(Investments!A43="","",IFERROR(VLOOKUP(Investments!A43,GC_Framework!$A$5:$P$204,2,FALSE()),"")),"")</f>
        <v/>
      </c>
      <c r="N76" s="108" t="str">
        <f aca="false">IFERROR(IF(Investments!A43="","",IFERROR(VLOOKUP(Investments!A43,GC_Framework!$A$5:$P$204,3,FALSE()),"")),"")</f>
        <v/>
      </c>
      <c r="O76" s="109" t="str">
        <f aca="false">IFERROR(IF(Investments!A43="","",IFERROR(VLOOKUP(Investments!A43,GC_Framework!$A$5:$P$204,5,FALSE()),"")),"")</f>
        <v/>
      </c>
      <c r="P76" s="109" t="str">
        <f aca="false">IFERROR(IF(Investments!A43="","",IFERROR(VLOOKUP(Investments!A43,GC_Framework!$A$5:$P$204,9,FALSE()),"")),"")</f>
        <v/>
      </c>
    </row>
    <row r="77" customFormat="false" ht="19.5" hidden="false" customHeight="true" outlineLevel="0" collapsed="false">
      <c r="B77" s="111" t="str">
        <f aca="false">IFERROR(IF(Investments!A44="","",Investments!A44),"")</f>
        <v/>
      </c>
      <c r="C77" s="98" t="str">
        <f aca="false">IFERROR(IF(Investments!B44="","",Investments!B44),"")</f>
        <v/>
      </c>
      <c r="D77" s="112" t="str">
        <f aca="false">IFERROR(IF(Investments!A44="","",Investments!D44),"")</f>
        <v/>
      </c>
      <c r="E77" s="112" t="str">
        <f aca="false">IFERROR(IF(Investments!J44="","",Investments!J44),"")</f>
        <v/>
      </c>
      <c r="F77" s="112" t="str">
        <f aca="false">IFERROR(IF(Investments!A44="","",Investments!G44),"")</f>
        <v/>
      </c>
      <c r="G77" s="99" t="str">
        <f aca="false">IFERROR(IF(Investments!O44="","",Investments!O44),"")</f>
        <v/>
      </c>
      <c r="H77" s="99" t="str">
        <f aca="false">IFERROR(IF(Investments!P44="","",Investments!P44),"")</f>
        <v/>
      </c>
      <c r="I77" s="99" t="str">
        <f aca="false">IFERROR(IF(Investments!Q44="","",Investments!Q44),"")</f>
        <v/>
      </c>
      <c r="J77" s="99" t="str">
        <f aca="false">IFERROR(IF(Investments!U44="","",Investments!U44),"")</f>
        <v/>
      </c>
      <c r="K77" s="99" t="str">
        <f aca="false">IFERROR(IF(Investments!V44="","",Investments!V44),"")</f>
        <v/>
      </c>
      <c r="L77" s="101" t="str">
        <f aca="false">IFERROR(IF(Investments!AB44="","",Investments!AB44),"")</f>
        <v/>
      </c>
      <c r="M77" s="113" t="str">
        <f aca="false">IFERROR(IF(Investments!A44="","",IFERROR(VLOOKUP(Investments!A44,GC_Framework!$A$5:$P$204,2,FALSE()),"")),"")</f>
        <v/>
      </c>
      <c r="N77" s="111" t="str">
        <f aca="false">IFERROR(IF(Investments!A44="","",IFERROR(VLOOKUP(Investments!A44,GC_Framework!$A$5:$P$204,3,FALSE()),"")),"")</f>
        <v/>
      </c>
      <c r="O77" s="112" t="str">
        <f aca="false">IFERROR(IF(Investments!A44="","",IFERROR(VLOOKUP(Investments!A44,GC_Framework!$A$5:$P$204,5,FALSE()),"")),"")</f>
        <v/>
      </c>
      <c r="P77" s="112" t="str">
        <f aca="false">IFERROR(IF(Investments!A44="","",IFERROR(VLOOKUP(Investments!A44,GC_Framework!$A$5:$P$204,9,FALSE()),"")),"")</f>
        <v/>
      </c>
    </row>
    <row r="78" customFormat="false" ht="19.5" hidden="false" customHeight="true" outlineLevel="0" collapsed="false">
      <c r="B78" s="108" t="str">
        <f aca="false">IFERROR(IF(Investments!A45="","",Investments!A45),"")</f>
        <v/>
      </c>
      <c r="C78" s="93" t="str">
        <f aca="false">IFERROR(IF(Investments!B45="","",Investments!B45),"")</f>
        <v/>
      </c>
      <c r="D78" s="109" t="str">
        <f aca="false">IFERROR(IF(Investments!A45="","",Investments!D45),"")</f>
        <v/>
      </c>
      <c r="E78" s="109" t="str">
        <f aca="false">IFERROR(IF(Investments!J45="","",Investments!J45),"")</f>
        <v/>
      </c>
      <c r="F78" s="109" t="str">
        <f aca="false">IFERROR(IF(Investments!A45="","",Investments!G45),"")</f>
        <v/>
      </c>
      <c r="G78" s="94" t="str">
        <f aca="false">IFERROR(IF(Investments!O45="","",Investments!O45),"")</f>
        <v/>
      </c>
      <c r="H78" s="94" t="str">
        <f aca="false">IFERROR(IF(Investments!P45="","",Investments!P45),"")</f>
        <v/>
      </c>
      <c r="I78" s="94" t="str">
        <f aca="false">IFERROR(IF(Investments!Q45="","",Investments!Q45),"")</f>
        <v/>
      </c>
      <c r="J78" s="94" t="str">
        <f aca="false">IFERROR(IF(Investments!U45="","",Investments!U45),"")</f>
        <v/>
      </c>
      <c r="K78" s="94" t="str">
        <f aca="false">IFERROR(IF(Investments!V45="","",Investments!V45),"")</f>
        <v/>
      </c>
      <c r="L78" s="96" t="str">
        <f aca="false">IFERROR(IF(Investments!AB45="","",Investments!AB45),"")</f>
        <v/>
      </c>
      <c r="M78" s="110" t="str">
        <f aca="false">IFERROR(IF(Investments!A45="","",IFERROR(VLOOKUP(Investments!A45,GC_Framework!$A$5:$P$204,2,FALSE()),"")),"")</f>
        <v/>
      </c>
      <c r="N78" s="108" t="str">
        <f aca="false">IFERROR(IF(Investments!A45="","",IFERROR(VLOOKUP(Investments!A45,GC_Framework!$A$5:$P$204,3,FALSE()),"")),"")</f>
        <v/>
      </c>
      <c r="O78" s="109" t="str">
        <f aca="false">IFERROR(IF(Investments!A45="","",IFERROR(VLOOKUP(Investments!A45,GC_Framework!$A$5:$P$204,5,FALSE()),"")),"")</f>
        <v/>
      </c>
      <c r="P78" s="109" t="str">
        <f aca="false">IFERROR(IF(Investments!A45="","",IFERROR(VLOOKUP(Investments!A45,GC_Framework!$A$5:$P$204,9,FALSE()),"")),"")</f>
        <v/>
      </c>
    </row>
    <row r="79" customFormat="false" ht="19.5" hidden="false" customHeight="true" outlineLevel="0" collapsed="false">
      <c r="B79" s="111" t="str">
        <f aca="false">IFERROR(IF(Investments!A46="","",Investments!A46),"")</f>
        <v/>
      </c>
      <c r="C79" s="98" t="str">
        <f aca="false">IFERROR(IF(Investments!B46="","",Investments!B46),"")</f>
        <v/>
      </c>
      <c r="D79" s="112" t="str">
        <f aca="false">IFERROR(IF(Investments!A46="","",Investments!D46),"")</f>
        <v/>
      </c>
      <c r="E79" s="112" t="str">
        <f aca="false">IFERROR(IF(Investments!J46="","",Investments!J46),"")</f>
        <v/>
      </c>
      <c r="F79" s="112" t="str">
        <f aca="false">IFERROR(IF(Investments!A46="","",Investments!G46),"")</f>
        <v/>
      </c>
      <c r="G79" s="99" t="str">
        <f aca="false">IFERROR(IF(Investments!O46="","",Investments!O46),"")</f>
        <v/>
      </c>
      <c r="H79" s="99" t="str">
        <f aca="false">IFERROR(IF(Investments!P46="","",Investments!P46),"")</f>
        <v/>
      </c>
      <c r="I79" s="99" t="str">
        <f aca="false">IFERROR(IF(Investments!Q46="","",Investments!Q46),"")</f>
        <v/>
      </c>
      <c r="J79" s="99" t="str">
        <f aca="false">IFERROR(IF(Investments!U46="","",Investments!U46),"")</f>
        <v/>
      </c>
      <c r="K79" s="99" t="str">
        <f aca="false">IFERROR(IF(Investments!V46="","",Investments!V46),"")</f>
        <v/>
      </c>
      <c r="L79" s="101" t="str">
        <f aca="false">IFERROR(IF(Investments!AB46="","",Investments!AB46),"")</f>
        <v/>
      </c>
      <c r="M79" s="113" t="str">
        <f aca="false">IFERROR(IF(Investments!A46="","",IFERROR(VLOOKUP(Investments!A46,GC_Framework!$A$5:$P$204,2,FALSE()),"")),"")</f>
        <v/>
      </c>
      <c r="N79" s="111" t="str">
        <f aca="false">IFERROR(IF(Investments!A46="","",IFERROR(VLOOKUP(Investments!A46,GC_Framework!$A$5:$P$204,3,FALSE()),"")),"")</f>
        <v/>
      </c>
      <c r="O79" s="112" t="str">
        <f aca="false">IFERROR(IF(Investments!A46="","",IFERROR(VLOOKUP(Investments!A46,GC_Framework!$A$5:$P$204,5,FALSE()),"")),"")</f>
        <v/>
      </c>
      <c r="P79" s="112" t="str">
        <f aca="false">IFERROR(IF(Investments!A46="","",IFERROR(VLOOKUP(Investments!A46,GC_Framework!$A$5:$P$204,9,FALSE()),"")),"")</f>
        <v/>
      </c>
    </row>
    <row r="80" customFormat="false" ht="19.5" hidden="false" customHeight="true" outlineLevel="0" collapsed="false">
      <c r="B80" s="108" t="str">
        <f aca="false">IFERROR(IF(Investments!A47="","",Investments!A47),"")</f>
        <v/>
      </c>
      <c r="C80" s="93" t="str">
        <f aca="false">IFERROR(IF(Investments!B47="","",Investments!B47),"")</f>
        <v/>
      </c>
      <c r="D80" s="109" t="str">
        <f aca="false">IFERROR(IF(Investments!A47="","",Investments!D47),"")</f>
        <v/>
      </c>
      <c r="E80" s="109" t="str">
        <f aca="false">IFERROR(IF(Investments!J47="","",Investments!J47),"")</f>
        <v/>
      </c>
      <c r="F80" s="109" t="str">
        <f aca="false">IFERROR(IF(Investments!A47="","",Investments!G47),"")</f>
        <v/>
      </c>
      <c r="G80" s="94" t="str">
        <f aca="false">IFERROR(IF(Investments!O47="","",Investments!O47),"")</f>
        <v/>
      </c>
      <c r="H80" s="94" t="str">
        <f aca="false">IFERROR(IF(Investments!P47="","",Investments!P47),"")</f>
        <v/>
      </c>
      <c r="I80" s="94" t="str">
        <f aca="false">IFERROR(IF(Investments!Q47="","",Investments!Q47),"")</f>
        <v/>
      </c>
      <c r="J80" s="94" t="str">
        <f aca="false">IFERROR(IF(Investments!U47="","",Investments!U47),"")</f>
        <v/>
      </c>
      <c r="K80" s="94" t="str">
        <f aca="false">IFERROR(IF(Investments!V47="","",Investments!V47),"")</f>
        <v/>
      </c>
      <c r="L80" s="96" t="str">
        <f aca="false">IFERROR(IF(Investments!AB47="","",Investments!AB47),"")</f>
        <v/>
      </c>
      <c r="M80" s="110" t="str">
        <f aca="false">IFERROR(IF(Investments!A47="","",IFERROR(VLOOKUP(Investments!A47,GC_Framework!$A$5:$P$204,2,FALSE()),"")),"")</f>
        <v/>
      </c>
      <c r="N80" s="108" t="str">
        <f aca="false">IFERROR(IF(Investments!A47="","",IFERROR(VLOOKUP(Investments!A47,GC_Framework!$A$5:$P$204,3,FALSE()),"")),"")</f>
        <v/>
      </c>
      <c r="O80" s="109" t="str">
        <f aca="false">IFERROR(IF(Investments!A47="","",IFERROR(VLOOKUP(Investments!A47,GC_Framework!$A$5:$P$204,5,FALSE()),"")),"")</f>
        <v/>
      </c>
      <c r="P80" s="109" t="str">
        <f aca="false">IFERROR(IF(Investments!A47="","",IFERROR(VLOOKUP(Investments!A47,GC_Framework!$A$5:$P$204,9,FALSE()),"")),"")</f>
        <v/>
      </c>
    </row>
    <row r="81" customFormat="false" ht="19.5" hidden="false" customHeight="true" outlineLevel="0" collapsed="false">
      <c r="B81" s="111" t="str">
        <f aca="false">IFERROR(IF(Investments!A48="","",Investments!A48),"")</f>
        <v/>
      </c>
      <c r="C81" s="98" t="str">
        <f aca="false">IFERROR(IF(Investments!B48="","",Investments!B48),"")</f>
        <v/>
      </c>
      <c r="D81" s="112" t="str">
        <f aca="false">IFERROR(IF(Investments!A48="","",Investments!D48),"")</f>
        <v/>
      </c>
      <c r="E81" s="112" t="str">
        <f aca="false">IFERROR(IF(Investments!J48="","",Investments!J48),"")</f>
        <v/>
      </c>
      <c r="F81" s="112" t="str">
        <f aca="false">IFERROR(IF(Investments!A48="","",Investments!G48),"")</f>
        <v/>
      </c>
      <c r="G81" s="99" t="str">
        <f aca="false">IFERROR(IF(Investments!O48="","",Investments!O48),"")</f>
        <v/>
      </c>
      <c r="H81" s="99" t="str">
        <f aca="false">IFERROR(IF(Investments!P48="","",Investments!P48),"")</f>
        <v/>
      </c>
      <c r="I81" s="99" t="str">
        <f aca="false">IFERROR(IF(Investments!Q48="","",Investments!Q48),"")</f>
        <v/>
      </c>
      <c r="J81" s="99" t="str">
        <f aca="false">IFERROR(IF(Investments!U48="","",Investments!U48),"")</f>
        <v/>
      </c>
      <c r="K81" s="99" t="str">
        <f aca="false">IFERROR(IF(Investments!V48="","",Investments!V48),"")</f>
        <v/>
      </c>
      <c r="L81" s="101" t="str">
        <f aca="false">IFERROR(IF(Investments!AB48="","",Investments!AB48),"")</f>
        <v/>
      </c>
      <c r="M81" s="113" t="str">
        <f aca="false">IFERROR(IF(Investments!A48="","",IFERROR(VLOOKUP(Investments!A48,GC_Framework!$A$5:$P$204,2,FALSE()),"")),"")</f>
        <v/>
      </c>
      <c r="N81" s="111" t="str">
        <f aca="false">IFERROR(IF(Investments!A48="","",IFERROR(VLOOKUP(Investments!A48,GC_Framework!$A$5:$P$204,3,FALSE()),"")),"")</f>
        <v/>
      </c>
      <c r="O81" s="112" t="str">
        <f aca="false">IFERROR(IF(Investments!A48="","",IFERROR(VLOOKUP(Investments!A48,GC_Framework!$A$5:$P$204,5,FALSE()),"")),"")</f>
        <v/>
      </c>
      <c r="P81" s="112" t="str">
        <f aca="false">IFERROR(IF(Investments!A48="","",IFERROR(VLOOKUP(Investments!A48,GC_Framework!$A$5:$P$204,9,FALSE()),"")),"")</f>
        <v/>
      </c>
    </row>
    <row r="82" customFormat="false" ht="19.5" hidden="false" customHeight="true" outlineLevel="0" collapsed="false">
      <c r="B82" s="108" t="str">
        <f aca="false">IFERROR(IF(Investments!A49="","",Investments!A49),"")</f>
        <v/>
      </c>
      <c r="C82" s="93" t="str">
        <f aca="false">IFERROR(IF(Investments!B49="","",Investments!B49),"")</f>
        <v/>
      </c>
      <c r="D82" s="109" t="str">
        <f aca="false">IFERROR(IF(Investments!A49="","",Investments!D49),"")</f>
        <v/>
      </c>
      <c r="E82" s="109" t="str">
        <f aca="false">IFERROR(IF(Investments!J49="","",Investments!J49),"")</f>
        <v/>
      </c>
      <c r="F82" s="109" t="str">
        <f aca="false">IFERROR(IF(Investments!A49="","",Investments!G49),"")</f>
        <v/>
      </c>
      <c r="G82" s="94" t="str">
        <f aca="false">IFERROR(IF(Investments!O49="","",Investments!O49),"")</f>
        <v/>
      </c>
      <c r="H82" s="94" t="str">
        <f aca="false">IFERROR(IF(Investments!P49="","",Investments!P49),"")</f>
        <v/>
      </c>
      <c r="I82" s="94" t="str">
        <f aca="false">IFERROR(IF(Investments!Q49="","",Investments!Q49),"")</f>
        <v/>
      </c>
      <c r="J82" s="94" t="str">
        <f aca="false">IFERROR(IF(Investments!U49="","",Investments!U49),"")</f>
        <v/>
      </c>
      <c r="K82" s="94" t="str">
        <f aca="false">IFERROR(IF(Investments!V49="","",Investments!V49),"")</f>
        <v/>
      </c>
      <c r="L82" s="96" t="str">
        <f aca="false">IFERROR(IF(Investments!AB49="","",Investments!AB49),"")</f>
        <v/>
      </c>
      <c r="M82" s="110" t="str">
        <f aca="false">IFERROR(IF(Investments!A49="","",IFERROR(VLOOKUP(Investments!A49,GC_Framework!$A$5:$P$204,2,FALSE()),"")),"")</f>
        <v/>
      </c>
      <c r="N82" s="108" t="str">
        <f aca="false">IFERROR(IF(Investments!A49="","",IFERROR(VLOOKUP(Investments!A49,GC_Framework!$A$5:$P$204,3,FALSE()),"")),"")</f>
        <v/>
      </c>
      <c r="O82" s="109" t="str">
        <f aca="false">IFERROR(IF(Investments!A49="","",IFERROR(VLOOKUP(Investments!A49,GC_Framework!$A$5:$P$204,5,FALSE()),"")),"")</f>
        <v/>
      </c>
      <c r="P82" s="109" t="str">
        <f aca="false">IFERROR(IF(Investments!A49="","",IFERROR(VLOOKUP(Investments!A49,GC_Framework!$A$5:$P$204,9,FALSE()),"")),"")</f>
        <v/>
      </c>
    </row>
    <row r="83" customFormat="false" ht="19.5" hidden="false" customHeight="true" outlineLevel="0" collapsed="false">
      <c r="B83" s="111" t="str">
        <f aca="false">IFERROR(IF(Investments!A50="","",Investments!A50),"")</f>
        <v/>
      </c>
      <c r="C83" s="98" t="str">
        <f aca="false">IFERROR(IF(Investments!B50="","",Investments!B50),"")</f>
        <v/>
      </c>
      <c r="D83" s="112" t="str">
        <f aca="false">IFERROR(IF(Investments!A50="","",Investments!D50),"")</f>
        <v/>
      </c>
      <c r="E83" s="112" t="str">
        <f aca="false">IFERROR(IF(Investments!J50="","",Investments!J50),"")</f>
        <v/>
      </c>
      <c r="F83" s="112" t="str">
        <f aca="false">IFERROR(IF(Investments!A50="","",Investments!G50),"")</f>
        <v/>
      </c>
      <c r="G83" s="99" t="str">
        <f aca="false">IFERROR(IF(Investments!O50="","",Investments!O50),"")</f>
        <v/>
      </c>
      <c r="H83" s="99" t="str">
        <f aca="false">IFERROR(IF(Investments!P50="","",Investments!P50),"")</f>
        <v/>
      </c>
      <c r="I83" s="99" t="str">
        <f aca="false">IFERROR(IF(Investments!Q50="","",Investments!Q50),"")</f>
        <v/>
      </c>
      <c r="J83" s="99" t="str">
        <f aca="false">IFERROR(IF(Investments!U50="","",Investments!U50),"")</f>
        <v/>
      </c>
      <c r="K83" s="99" t="str">
        <f aca="false">IFERROR(IF(Investments!V50="","",Investments!V50),"")</f>
        <v/>
      </c>
      <c r="L83" s="101" t="str">
        <f aca="false">IFERROR(IF(Investments!AB50="","",Investments!AB50),"")</f>
        <v/>
      </c>
      <c r="M83" s="113" t="str">
        <f aca="false">IFERROR(IF(Investments!A50="","",IFERROR(VLOOKUP(Investments!A50,GC_Framework!$A$5:$P$204,2,FALSE()),"")),"")</f>
        <v/>
      </c>
      <c r="N83" s="111" t="str">
        <f aca="false">IFERROR(IF(Investments!A50="","",IFERROR(VLOOKUP(Investments!A50,GC_Framework!$A$5:$P$204,3,FALSE()),"")),"")</f>
        <v/>
      </c>
      <c r="O83" s="112" t="str">
        <f aca="false">IFERROR(IF(Investments!A50="","",IFERROR(VLOOKUP(Investments!A50,GC_Framework!$A$5:$P$204,5,FALSE()),"")),"")</f>
        <v/>
      </c>
      <c r="P83" s="112" t="str">
        <f aca="false">IFERROR(IF(Investments!A50="","",IFERROR(VLOOKUP(Investments!A50,GC_Framework!$A$5:$P$204,9,FALSE()),"")),"")</f>
        <v/>
      </c>
    </row>
    <row r="84" customFormat="false" ht="19.5" hidden="false" customHeight="true" outlineLevel="0" collapsed="false">
      <c r="B84" s="108" t="str">
        <f aca="false">IFERROR(IF(Investments!A51="","",Investments!A51),"")</f>
        <v/>
      </c>
      <c r="C84" s="93" t="str">
        <f aca="false">IFERROR(IF(Investments!B51="","",Investments!B51),"")</f>
        <v/>
      </c>
      <c r="D84" s="109" t="str">
        <f aca="false">IFERROR(IF(Investments!A51="","",Investments!D51),"")</f>
        <v/>
      </c>
      <c r="E84" s="109" t="str">
        <f aca="false">IFERROR(IF(Investments!J51="","",Investments!J51),"")</f>
        <v/>
      </c>
      <c r="F84" s="109" t="str">
        <f aca="false">IFERROR(IF(Investments!A51="","",Investments!G51),"")</f>
        <v/>
      </c>
      <c r="G84" s="94" t="str">
        <f aca="false">IFERROR(IF(Investments!O51="","",Investments!O51),"")</f>
        <v/>
      </c>
      <c r="H84" s="94" t="str">
        <f aca="false">IFERROR(IF(Investments!P51="","",Investments!P51),"")</f>
        <v/>
      </c>
      <c r="I84" s="94" t="str">
        <f aca="false">IFERROR(IF(Investments!Q51="","",Investments!Q51),"")</f>
        <v/>
      </c>
      <c r="J84" s="94" t="str">
        <f aca="false">IFERROR(IF(Investments!U51="","",Investments!U51),"")</f>
        <v/>
      </c>
      <c r="K84" s="94" t="str">
        <f aca="false">IFERROR(IF(Investments!V51="","",Investments!V51),"")</f>
        <v/>
      </c>
      <c r="L84" s="96" t="str">
        <f aca="false">IFERROR(IF(Investments!AB51="","",Investments!AB51),"")</f>
        <v/>
      </c>
      <c r="M84" s="110" t="str">
        <f aca="false">IFERROR(IF(Investments!A51="","",IFERROR(VLOOKUP(Investments!A51,GC_Framework!$A$5:$P$204,2,FALSE()),"")),"")</f>
        <v/>
      </c>
      <c r="N84" s="108" t="str">
        <f aca="false">IFERROR(IF(Investments!A51="","",IFERROR(VLOOKUP(Investments!A51,GC_Framework!$A$5:$P$204,3,FALSE()),"")),"")</f>
        <v/>
      </c>
      <c r="O84" s="109" t="str">
        <f aca="false">IFERROR(IF(Investments!A51="","",IFERROR(VLOOKUP(Investments!A51,GC_Framework!$A$5:$P$204,5,FALSE()),"")),"")</f>
        <v/>
      </c>
      <c r="P84" s="109" t="str">
        <f aca="false">IFERROR(IF(Investments!A51="","",IFERROR(VLOOKUP(Investments!A51,GC_Framework!$A$5:$P$204,9,FALSE()),"")),"")</f>
        <v/>
      </c>
    </row>
    <row r="85" customFormat="false" ht="19.5" hidden="false" customHeight="true" outlineLevel="0" collapsed="false">
      <c r="B85" s="111" t="str">
        <f aca="false">IFERROR(IF(Investments!A52="","",Investments!A52),"")</f>
        <v/>
      </c>
      <c r="C85" s="98" t="str">
        <f aca="false">IFERROR(IF(Investments!B52="","",Investments!B52),"")</f>
        <v/>
      </c>
      <c r="D85" s="112" t="str">
        <f aca="false">IFERROR(IF(Investments!A52="","",Investments!D52),"")</f>
        <v/>
      </c>
      <c r="E85" s="112" t="str">
        <f aca="false">IFERROR(IF(Investments!J52="","",Investments!J52),"")</f>
        <v/>
      </c>
      <c r="F85" s="112" t="str">
        <f aca="false">IFERROR(IF(Investments!A52="","",Investments!G52),"")</f>
        <v/>
      </c>
      <c r="G85" s="99" t="str">
        <f aca="false">IFERROR(IF(Investments!O52="","",Investments!O52),"")</f>
        <v/>
      </c>
      <c r="H85" s="99" t="str">
        <f aca="false">IFERROR(IF(Investments!P52="","",Investments!P52),"")</f>
        <v/>
      </c>
      <c r="I85" s="99" t="str">
        <f aca="false">IFERROR(IF(Investments!Q52="","",Investments!Q52),"")</f>
        <v/>
      </c>
      <c r="J85" s="99" t="str">
        <f aca="false">IFERROR(IF(Investments!U52="","",Investments!U52),"")</f>
        <v/>
      </c>
      <c r="K85" s="99" t="str">
        <f aca="false">IFERROR(IF(Investments!V52="","",Investments!V52),"")</f>
        <v/>
      </c>
      <c r="L85" s="101" t="str">
        <f aca="false">IFERROR(IF(Investments!AB52="","",Investments!AB52),"")</f>
        <v/>
      </c>
      <c r="M85" s="113" t="str">
        <f aca="false">IFERROR(IF(Investments!A52="","",IFERROR(VLOOKUP(Investments!A52,GC_Framework!$A$5:$P$204,2,FALSE()),"")),"")</f>
        <v/>
      </c>
      <c r="N85" s="111" t="str">
        <f aca="false">IFERROR(IF(Investments!A52="","",IFERROR(VLOOKUP(Investments!A52,GC_Framework!$A$5:$P$204,3,FALSE()),"")),"")</f>
        <v/>
      </c>
      <c r="O85" s="112" t="str">
        <f aca="false">IFERROR(IF(Investments!A52="","",IFERROR(VLOOKUP(Investments!A52,GC_Framework!$A$5:$P$204,5,FALSE()),"")),"")</f>
        <v/>
      </c>
      <c r="P85" s="112" t="str">
        <f aca="false">IFERROR(IF(Investments!A52="","",IFERROR(VLOOKUP(Investments!A52,GC_Framework!$A$5:$P$204,9,FALSE()),"")),"")</f>
        <v/>
      </c>
    </row>
    <row r="86" customFormat="false" ht="19.5" hidden="false" customHeight="true" outlineLevel="0" collapsed="false">
      <c r="B86" s="108" t="str">
        <f aca="false">IFERROR(IF(Investments!A53="","",Investments!A53),"")</f>
        <v/>
      </c>
      <c r="C86" s="93" t="str">
        <f aca="false">IFERROR(IF(Investments!B53="","",Investments!B53),"")</f>
        <v/>
      </c>
      <c r="D86" s="109" t="str">
        <f aca="false">IFERROR(IF(Investments!A53="","",Investments!D53),"")</f>
        <v/>
      </c>
      <c r="E86" s="109" t="str">
        <f aca="false">IFERROR(IF(Investments!J53="","",Investments!J53),"")</f>
        <v/>
      </c>
      <c r="F86" s="109" t="str">
        <f aca="false">IFERROR(IF(Investments!A53="","",Investments!G53),"")</f>
        <v/>
      </c>
      <c r="G86" s="94" t="str">
        <f aca="false">IFERROR(IF(Investments!O53="","",Investments!O53),"")</f>
        <v/>
      </c>
      <c r="H86" s="94" t="str">
        <f aca="false">IFERROR(IF(Investments!P53="","",Investments!P53),"")</f>
        <v/>
      </c>
      <c r="I86" s="94" t="str">
        <f aca="false">IFERROR(IF(Investments!Q53="","",Investments!Q53),"")</f>
        <v/>
      </c>
      <c r="J86" s="94" t="str">
        <f aca="false">IFERROR(IF(Investments!U53="","",Investments!U53),"")</f>
        <v/>
      </c>
      <c r="K86" s="94" t="str">
        <f aca="false">IFERROR(IF(Investments!V53="","",Investments!V53),"")</f>
        <v/>
      </c>
      <c r="L86" s="96" t="str">
        <f aca="false">IFERROR(IF(Investments!AB53="","",Investments!AB53),"")</f>
        <v/>
      </c>
      <c r="M86" s="110" t="str">
        <f aca="false">IFERROR(IF(Investments!A53="","",IFERROR(VLOOKUP(Investments!A53,GC_Framework!$A$5:$P$204,2,FALSE()),"")),"")</f>
        <v/>
      </c>
      <c r="N86" s="108" t="str">
        <f aca="false">IFERROR(IF(Investments!A53="","",IFERROR(VLOOKUP(Investments!A53,GC_Framework!$A$5:$P$204,3,FALSE()),"")),"")</f>
        <v/>
      </c>
      <c r="O86" s="109" t="str">
        <f aca="false">IFERROR(IF(Investments!A53="","",IFERROR(VLOOKUP(Investments!A53,GC_Framework!$A$5:$P$204,5,FALSE()),"")),"")</f>
        <v/>
      </c>
      <c r="P86" s="109" t="str">
        <f aca="false">IFERROR(IF(Investments!A53="","",IFERROR(VLOOKUP(Investments!A53,GC_Framework!$A$5:$P$204,9,FALSE()),"")),"")</f>
        <v/>
      </c>
    </row>
    <row r="87" customFormat="false" ht="19.5" hidden="false" customHeight="true" outlineLevel="0" collapsed="false">
      <c r="B87" s="111" t="str">
        <f aca="false">IFERROR(IF(Investments!A54="","",Investments!A54),"")</f>
        <v/>
      </c>
      <c r="C87" s="98" t="str">
        <f aca="false">IFERROR(IF(Investments!B54="","",Investments!B54),"")</f>
        <v/>
      </c>
      <c r="D87" s="112" t="str">
        <f aca="false">IFERROR(IF(Investments!A54="","",Investments!D54),"")</f>
        <v/>
      </c>
      <c r="E87" s="112" t="str">
        <f aca="false">IFERROR(IF(Investments!J54="","",Investments!J54),"")</f>
        <v/>
      </c>
      <c r="F87" s="112" t="str">
        <f aca="false">IFERROR(IF(Investments!A54="","",Investments!G54),"")</f>
        <v/>
      </c>
      <c r="G87" s="99" t="str">
        <f aca="false">IFERROR(IF(Investments!O54="","",Investments!O54),"")</f>
        <v/>
      </c>
      <c r="H87" s="99" t="str">
        <f aca="false">IFERROR(IF(Investments!P54="","",Investments!P54),"")</f>
        <v/>
      </c>
      <c r="I87" s="99" t="str">
        <f aca="false">IFERROR(IF(Investments!Q54="","",Investments!Q54),"")</f>
        <v/>
      </c>
      <c r="J87" s="99" t="str">
        <f aca="false">IFERROR(IF(Investments!U54="","",Investments!U54),"")</f>
        <v/>
      </c>
      <c r="K87" s="99" t="str">
        <f aca="false">IFERROR(IF(Investments!V54="","",Investments!V54),"")</f>
        <v/>
      </c>
      <c r="L87" s="101" t="str">
        <f aca="false">IFERROR(IF(Investments!AB54="","",Investments!AB54),"")</f>
        <v/>
      </c>
      <c r="M87" s="113" t="str">
        <f aca="false">IFERROR(IF(Investments!A54="","",IFERROR(VLOOKUP(Investments!A54,GC_Framework!$A$5:$P$204,2,FALSE()),"")),"")</f>
        <v/>
      </c>
      <c r="N87" s="111" t="str">
        <f aca="false">IFERROR(IF(Investments!A54="","",IFERROR(VLOOKUP(Investments!A54,GC_Framework!$A$5:$P$204,3,FALSE()),"")),"")</f>
        <v/>
      </c>
      <c r="O87" s="112" t="str">
        <f aca="false">IFERROR(IF(Investments!A54="","",IFERROR(VLOOKUP(Investments!A54,GC_Framework!$A$5:$P$204,5,FALSE()),"")),"")</f>
        <v/>
      </c>
      <c r="P87" s="112" t="str">
        <f aca="false">IFERROR(IF(Investments!A54="","",IFERROR(VLOOKUP(Investments!A54,GC_Framework!$A$5:$P$204,9,FALSE()),"")),"")</f>
        <v/>
      </c>
    </row>
    <row r="88" customFormat="false" ht="19.5" hidden="false" customHeight="true" outlineLevel="0" collapsed="false">
      <c r="B88" s="108" t="str">
        <f aca="false">IFERROR(IF(Investments!A55="","",Investments!A55),"")</f>
        <v/>
      </c>
      <c r="C88" s="93" t="str">
        <f aca="false">IFERROR(IF(Investments!B55="","",Investments!B55),"")</f>
        <v/>
      </c>
      <c r="D88" s="109" t="str">
        <f aca="false">IFERROR(IF(Investments!A55="","",Investments!D55),"")</f>
        <v/>
      </c>
      <c r="E88" s="109" t="str">
        <f aca="false">IFERROR(IF(Investments!J55="","",Investments!J55),"")</f>
        <v/>
      </c>
      <c r="F88" s="109" t="str">
        <f aca="false">IFERROR(IF(Investments!A55="","",Investments!G55),"")</f>
        <v/>
      </c>
      <c r="G88" s="94" t="str">
        <f aca="false">IFERROR(IF(Investments!O55="","",Investments!O55),"")</f>
        <v/>
      </c>
      <c r="H88" s="94" t="str">
        <f aca="false">IFERROR(IF(Investments!P55="","",Investments!P55),"")</f>
        <v/>
      </c>
      <c r="I88" s="94" t="str">
        <f aca="false">IFERROR(IF(Investments!Q55="","",Investments!Q55),"")</f>
        <v/>
      </c>
      <c r="J88" s="94" t="str">
        <f aca="false">IFERROR(IF(Investments!U55="","",Investments!U55),"")</f>
        <v/>
      </c>
      <c r="K88" s="94" t="str">
        <f aca="false">IFERROR(IF(Investments!V55="","",Investments!V55),"")</f>
        <v/>
      </c>
      <c r="L88" s="96" t="str">
        <f aca="false">IFERROR(IF(Investments!AB55="","",Investments!AB55),"")</f>
        <v/>
      </c>
      <c r="M88" s="110" t="str">
        <f aca="false">IFERROR(IF(Investments!A55="","",IFERROR(VLOOKUP(Investments!A55,GC_Framework!$A$5:$P$204,2,FALSE()),"")),"")</f>
        <v/>
      </c>
      <c r="N88" s="108" t="str">
        <f aca="false">IFERROR(IF(Investments!A55="","",IFERROR(VLOOKUP(Investments!A55,GC_Framework!$A$5:$P$204,3,FALSE()),"")),"")</f>
        <v/>
      </c>
      <c r="O88" s="109" t="str">
        <f aca="false">IFERROR(IF(Investments!A55="","",IFERROR(VLOOKUP(Investments!A55,GC_Framework!$A$5:$P$204,5,FALSE()),"")),"")</f>
        <v/>
      </c>
      <c r="P88" s="109" t="str">
        <f aca="false">IFERROR(IF(Investments!A55="","",IFERROR(VLOOKUP(Investments!A55,GC_Framework!$A$5:$P$204,9,FALSE()),"")),"")</f>
        <v/>
      </c>
    </row>
    <row r="89" customFormat="false" ht="19.5" hidden="false" customHeight="true" outlineLevel="0" collapsed="false">
      <c r="B89" s="111" t="str">
        <f aca="false">IFERROR(IF(Investments!A56="","",Investments!A56),"")</f>
        <v/>
      </c>
      <c r="C89" s="98" t="str">
        <f aca="false">IFERROR(IF(Investments!B56="","",Investments!B56),"")</f>
        <v/>
      </c>
      <c r="D89" s="112" t="str">
        <f aca="false">IFERROR(IF(Investments!A56="","",Investments!D56),"")</f>
        <v/>
      </c>
      <c r="E89" s="112" t="str">
        <f aca="false">IFERROR(IF(Investments!J56="","",Investments!J56),"")</f>
        <v/>
      </c>
      <c r="F89" s="112" t="str">
        <f aca="false">IFERROR(IF(Investments!A56="","",Investments!G56),"")</f>
        <v/>
      </c>
      <c r="G89" s="99" t="str">
        <f aca="false">IFERROR(IF(Investments!O56="","",Investments!O56),"")</f>
        <v/>
      </c>
      <c r="H89" s="99" t="str">
        <f aca="false">IFERROR(IF(Investments!P56="","",Investments!P56),"")</f>
        <v/>
      </c>
      <c r="I89" s="99" t="str">
        <f aca="false">IFERROR(IF(Investments!Q56="","",Investments!Q56),"")</f>
        <v/>
      </c>
      <c r="J89" s="99" t="str">
        <f aca="false">IFERROR(IF(Investments!U56="","",Investments!U56),"")</f>
        <v/>
      </c>
      <c r="K89" s="99" t="str">
        <f aca="false">IFERROR(IF(Investments!V56="","",Investments!V56),"")</f>
        <v/>
      </c>
      <c r="L89" s="101" t="str">
        <f aca="false">IFERROR(IF(Investments!AB56="","",Investments!AB56),"")</f>
        <v/>
      </c>
      <c r="M89" s="113" t="str">
        <f aca="false">IFERROR(IF(Investments!A56="","",IFERROR(VLOOKUP(Investments!A56,GC_Framework!$A$5:$P$204,2,FALSE()),"")),"")</f>
        <v/>
      </c>
      <c r="N89" s="111" t="str">
        <f aca="false">IFERROR(IF(Investments!A56="","",IFERROR(VLOOKUP(Investments!A56,GC_Framework!$A$5:$P$204,3,FALSE()),"")),"")</f>
        <v/>
      </c>
      <c r="O89" s="112" t="str">
        <f aca="false">IFERROR(IF(Investments!A56="","",IFERROR(VLOOKUP(Investments!A56,GC_Framework!$A$5:$P$204,5,FALSE()),"")),"")</f>
        <v/>
      </c>
      <c r="P89" s="112" t="str">
        <f aca="false">IFERROR(IF(Investments!A56="","",IFERROR(VLOOKUP(Investments!A56,GC_Framework!$A$5:$P$204,9,FALSE()),"")),"")</f>
        <v/>
      </c>
    </row>
    <row r="90" customFormat="false" ht="19.5" hidden="false" customHeight="true" outlineLevel="0" collapsed="false">
      <c r="B90" s="108" t="str">
        <f aca="false">IFERROR(IF(Investments!A57="","",Investments!A57),"")</f>
        <v/>
      </c>
      <c r="C90" s="93" t="str">
        <f aca="false">IFERROR(IF(Investments!B57="","",Investments!B57),"")</f>
        <v/>
      </c>
      <c r="D90" s="109" t="str">
        <f aca="false">IFERROR(IF(Investments!A57="","",Investments!D57),"")</f>
        <v/>
      </c>
      <c r="E90" s="109" t="str">
        <f aca="false">IFERROR(IF(Investments!J57="","",Investments!J57),"")</f>
        <v/>
      </c>
      <c r="F90" s="109" t="str">
        <f aca="false">IFERROR(IF(Investments!A57="","",Investments!G57),"")</f>
        <v/>
      </c>
      <c r="G90" s="94" t="str">
        <f aca="false">IFERROR(IF(Investments!O57="","",Investments!O57),"")</f>
        <v/>
      </c>
      <c r="H90" s="94" t="str">
        <f aca="false">IFERROR(IF(Investments!P57="","",Investments!P57),"")</f>
        <v/>
      </c>
      <c r="I90" s="94" t="str">
        <f aca="false">IFERROR(IF(Investments!Q57="","",Investments!Q57),"")</f>
        <v/>
      </c>
      <c r="J90" s="94" t="str">
        <f aca="false">IFERROR(IF(Investments!U57="","",Investments!U57),"")</f>
        <v/>
      </c>
      <c r="K90" s="94" t="str">
        <f aca="false">IFERROR(IF(Investments!V57="","",Investments!V57),"")</f>
        <v/>
      </c>
      <c r="L90" s="96" t="str">
        <f aca="false">IFERROR(IF(Investments!AB57="","",Investments!AB57),"")</f>
        <v/>
      </c>
      <c r="M90" s="110" t="str">
        <f aca="false">IFERROR(IF(Investments!A57="","",IFERROR(VLOOKUP(Investments!A57,GC_Framework!$A$5:$P$204,2,FALSE()),"")),"")</f>
        <v/>
      </c>
      <c r="N90" s="108" t="str">
        <f aca="false">IFERROR(IF(Investments!A57="","",IFERROR(VLOOKUP(Investments!A57,GC_Framework!$A$5:$P$204,3,FALSE()),"")),"")</f>
        <v/>
      </c>
      <c r="O90" s="109" t="str">
        <f aca="false">IFERROR(IF(Investments!A57="","",IFERROR(VLOOKUP(Investments!A57,GC_Framework!$A$5:$P$204,5,FALSE()),"")),"")</f>
        <v/>
      </c>
      <c r="P90" s="109" t="str">
        <f aca="false">IFERROR(IF(Investments!A57="","",IFERROR(VLOOKUP(Investments!A57,GC_Framework!$A$5:$P$204,9,FALSE()),"")),"")</f>
        <v/>
      </c>
    </row>
    <row r="91" customFormat="false" ht="19.5" hidden="false" customHeight="true" outlineLevel="0" collapsed="false">
      <c r="B91" s="111" t="str">
        <f aca="false">IFERROR(IF(Investments!A58="","",Investments!A58),"")</f>
        <v/>
      </c>
      <c r="C91" s="98" t="str">
        <f aca="false">IFERROR(IF(Investments!B58="","",Investments!B58),"")</f>
        <v/>
      </c>
      <c r="D91" s="112" t="str">
        <f aca="false">IFERROR(IF(Investments!A58="","",Investments!D58),"")</f>
        <v/>
      </c>
      <c r="E91" s="112" t="str">
        <f aca="false">IFERROR(IF(Investments!J58="","",Investments!J58),"")</f>
        <v/>
      </c>
      <c r="F91" s="112" t="str">
        <f aca="false">IFERROR(IF(Investments!A58="","",Investments!G58),"")</f>
        <v/>
      </c>
      <c r="G91" s="99" t="str">
        <f aca="false">IFERROR(IF(Investments!O58="","",Investments!O58),"")</f>
        <v/>
      </c>
      <c r="H91" s="99" t="str">
        <f aca="false">IFERROR(IF(Investments!P58="","",Investments!P58),"")</f>
        <v/>
      </c>
      <c r="I91" s="99" t="str">
        <f aca="false">IFERROR(IF(Investments!Q58="","",Investments!Q58),"")</f>
        <v/>
      </c>
      <c r="J91" s="99" t="str">
        <f aca="false">IFERROR(IF(Investments!U58="","",Investments!U58),"")</f>
        <v/>
      </c>
      <c r="K91" s="99" t="str">
        <f aca="false">IFERROR(IF(Investments!V58="","",Investments!V58),"")</f>
        <v/>
      </c>
      <c r="L91" s="101" t="str">
        <f aca="false">IFERROR(IF(Investments!AB58="","",Investments!AB58),"")</f>
        <v/>
      </c>
      <c r="M91" s="113" t="str">
        <f aca="false">IFERROR(IF(Investments!A58="","",IFERROR(VLOOKUP(Investments!A58,GC_Framework!$A$5:$P$204,2,FALSE()),"")),"")</f>
        <v/>
      </c>
      <c r="N91" s="111" t="str">
        <f aca="false">IFERROR(IF(Investments!A58="","",IFERROR(VLOOKUP(Investments!A58,GC_Framework!$A$5:$P$204,3,FALSE()),"")),"")</f>
        <v/>
      </c>
      <c r="O91" s="112" t="str">
        <f aca="false">IFERROR(IF(Investments!A58="","",IFERROR(VLOOKUP(Investments!A58,GC_Framework!$A$5:$P$204,5,FALSE()),"")),"")</f>
        <v/>
      </c>
      <c r="P91" s="112" t="str">
        <f aca="false">IFERROR(IF(Investments!A58="","",IFERROR(VLOOKUP(Investments!A58,GC_Framework!$A$5:$P$204,9,FALSE()),"")),"")</f>
        <v/>
      </c>
    </row>
    <row r="92" customFormat="false" ht="19.5" hidden="false" customHeight="true" outlineLevel="0" collapsed="false">
      <c r="B92" s="108" t="str">
        <f aca="false">IFERROR(IF(Investments!A59="","",Investments!A59),"")</f>
        <v/>
      </c>
      <c r="C92" s="93" t="str">
        <f aca="false">IFERROR(IF(Investments!B59="","",Investments!B59),"")</f>
        <v/>
      </c>
      <c r="D92" s="109" t="str">
        <f aca="false">IFERROR(IF(Investments!A59="","",Investments!D59),"")</f>
        <v/>
      </c>
      <c r="E92" s="109" t="str">
        <f aca="false">IFERROR(IF(Investments!J59="","",Investments!J59),"")</f>
        <v/>
      </c>
      <c r="F92" s="109" t="str">
        <f aca="false">IFERROR(IF(Investments!A59="","",Investments!G59),"")</f>
        <v/>
      </c>
      <c r="G92" s="94" t="str">
        <f aca="false">IFERROR(IF(Investments!O59="","",Investments!O59),"")</f>
        <v/>
      </c>
      <c r="H92" s="94" t="str">
        <f aca="false">IFERROR(IF(Investments!P59="","",Investments!P59),"")</f>
        <v/>
      </c>
      <c r="I92" s="94" t="str">
        <f aca="false">IFERROR(IF(Investments!Q59="","",Investments!Q59),"")</f>
        <v/>
      </c>
      <c r="J92" s="94" t="str">
        <f aca="false">IFERROR(IF(Investments!U59="","",Investments!U59),"")</f>
        <v/>
      </c>
      <c r="K92" s="94" t="str">
        <f aca="false">IFERROR(IF(Investments!V59="","",Investments!V59),"")</f>
        <v/>
      </c>
      <c r="L92" s="96" t="str">
        <f aca="false">IFERROR(IF(Investments!AB59="","",Investments!AB59),"")</f>
        <v/>
      </c>
      <c r="M92" s="110" t="str">
        <f aca="false">IFERROR(IF(Investments!A59="","",IFERROR(VLOOKUP(Investments!A59,GC_Framework!$A$5:$P$204,2,FALSE()),"")),"")</f>
        <v/>
      </c>
      <c r="N92" s="108" t="str">
        <f aca="false">IFERROR(IF(Investments!A59="","",IFERROR(VLOOKUP(Investments!A59,GC_Framework!$A$5:$P$204,3,FALSE()),"")),"")</f>
        <v/>
      </c>
      <c r="O92" s="109" t="str">
        <f aca="false">IFERROR(IF(Investments!A59="","",IFERROR(VLOOKUP(Investments!A59,GC_Framework!$A$5:$P$204,5,FALSE()),"")),"")</f>
        <v/>
      </c>
      <c r="P92" s="109" t="str">
        <f aca="false">IFERROR(IF(Investments!A59="","",IFERROR(VLOOKUP(Investments!A59,GC_Framework!$A$5:$P$204,9,FALSE()),"")),"")</f>
        <v/>
      </c>
    </row>
    <row r="93" customFormat="false" ht="19.5" hidden="false" customHeight="true" outlineLevel="0" collapsed="false">
      <c r="B93" s="111" t="str">
        <f aca="false">IFERROR(IF(Investments!A60="","",Investments!A60),"")</f>
        <v/>
      </c>
      <c r="C93" s="98" t="str">
        <f aca="false">IFERROR(IF(Investments!B60="","",Investments!B60),"")</f>
        <v/>
      </c>
      <c r="D93" s="112" t="str">
        <f aca="false">IFERROR(IF(Investments!A60="","",Investments!D60),"")</f>
        <v/>
      </c>
      <c r="E93" s="112" t="str">
        <f aca="false">IFERROR(IF(Investments!J60="","",Investments!J60),"")</f>
        <v/>
      </c>
      <c r="F93" s="112" t="str">
        <f aca="false">IFERROR(IF(Investments!A60="","",Investments!G60),"")</f>
        <v/>
      </c>
      <c r="G93" s="99" t="str">
        <f aca="false">IFERROR(IF(Investments!O60="","",Investments!O60),"")</f>
        <v/>
      </c>
      <c r="H93" s="99" t="str">
        <f aca="false">IFERROR(IF(Investments!P60="","",Investments!P60),"")</f>
        <v/>
      </c>
      <c r="I93" s="99" t="str">
        <f aca="false">IFERROR(IF(Investments!Q60="","",Investments!Q60),"")</f>
        <v/>
      </c>
      <c r="J93" s="99" t="str">
        <f aca="false">IFERROR(IF(Investments!U60="","",Investments!U60),"")</f>
        <v/>
      </c>
      <c r="K93" s="99" t="str">
        <f aca="false">IFERROR(IF(Investments!V60="","",Investments!V60),"")</f>
        <v/>
      </c>
      <c r="L93" s="101" t="str">
        <f aca="false">IFERROR(IF(Investments!AB60="","",Investments!AB60),"")</f>
        <v/>
      </c>
      <c r="M93" s="113" t="str">
        <f aca="false">IFERROR(IF(Investments!A60="","",IFERROR(VLOOKUP(Investments!A60,GC_Framework!$A$5:$P$204,2,FALSE()),"")),"")</f>
        <v/>
      </c>
      <c r="N93" s="111" t="str">
        <f aca="false">IFERROR(IF(Investments!A60="","",IFERROR(VLOOKUP(Investments!A60,GC_Framework!$A$5:$P$204,3,FALSE()),"")),"")</f>
        <v/>
      </c>
      <c r="O93" s="112" t="str">
        <f aca="false">IFERROR(IF(Investments!A60="","",IFERROR(VLOOKUP(Investments!A60,GC_Framework!$A$5:$P$204,5,FALSE()),"")),"")</f>
        <v/>
      </c>
      <c r="P93" s="112" t="str">
        <f aca="false">IFERROR(IF(Investments!A60="","",IFERROR(VLOOKUP(Investments!A60,GC_Framework!$A$5:$P$204,9,FALSE()),"")),"")</f>
        <v/>
      </c>
    </row>
    <row r="94" customFormat="false" ht="19.5" hidden="false" customHeight="true" outlineLevel="0" collapsed="false">
      <c r="B94" s="108" t="str">
        <f aca="false">IFERROR(IF(Investments!A61="","",Investments!A61),"")</f>
        <v/>
      </c>
      <c r="C94" s="93" t="str">
        <f aca="false">IFERROR(IF(Investments!B61="","",Investments!B61),"")</f>
        <v/>
      </c>
      <c r="D94" s="109" t="str">
        <f aca="false">IFERROR(IF(Investments!A61="","",Investments!D61),"")</f>
        <v/>
      </c>
      <c r="E94" s="109" t="str">
        <f aca="false">IFERROR(IF(Investments!J61="","",Investments!J61),"")</f>
        <v/>
      </c>
      <c r="F94" s="109" t="str">
        <f aca="false">IFERROR(IF(Investments!A61="","",Investments!G61),"")</f>
        <v/>
      </c>
      <c r="G94" s="94" t="str">
        <f aca="false">IFERROR(IF(Investments!O61="","",Investments!O61),"")</f>
        <v/>
      </c>
      <c r="H94" s="94" t="str">
        <f aca="false">IFERROR(IF(Investments!P61="","",Investments!P61),"")</f>
        <v/>
      </c>
      <c r="I94" s="94" t="str">
        <f aca="false">IFERROR(IF(Investments!Q61="","",Investments!Q61),"")</f>
        <v/>
      </c>
      <c r="J94" s="94" t="str">
        <f aca="false">IFERROR(IF(Investments!U61="","",Investments!U61),"")</f>
        <v/>
      </c>
      <c r="K94" s="94" t="str">
        <f aca="false">IFERROR(IF(Investments!V61="","",Investments!V61),"")</f>
        <v/>
      </c>
      <c r="L94" s="96" t="str">
        <f aca="false">IFERROR(IF(Investments!AB61="","",Investments!AB61),"")</f>
        <v/>
      </c>
      <c r="M94" s="110" t="str">
        <f aca="false">IFERROR(IF(Investments!A61="","",IFERROR(VLOOKUP(Investments!A61,GC_Framework!$A$5:$P$204,2,FALSE()),"")),"")</f>
        <v/>
      </c>
      <c r="N94" s="108" t="str">
        <f aca="false">IFERROR(IF(Investments!A61="","",IFERROR(VLOOKUP(Investments!A61,GC_Framework!$A$5:$P$204,3,FALSE()),"")),"")</f>
        <v/>
      </c>
      <c r="O94" s="109" t="str">
        <f aca="false">IFERROR(IF(Investments!A61="","",IFERROR(VLOOKUP(Investments!A61,GC_Framework!$A$5:$P$204,5,FALSE()),"")),"")</f>
        <v/>
      </c>
      <c r="P94" s="109" t="str">
        <f aca="false">IFERROR(IF(Investments!A61="","",IFERROR(VLOOKUP(Investments!A61,GC_Framework!$A$5:$P$204,9,FALSE()),"")),"")</f>
        <v/>
      </c>
    </row>
    <row r="95" customFormat="false" ht="19.5" hidden="false" customHeight="true" outlineLevel="0" collapsed="false">
      <c r="B95" s="111" t="str">
        <f aca="false">IFERROR(IF(Investments!A62="","",Investments!A62),"")</f>
        <v/>
      </c>
      <c r="C95" s="98" t="str">
        <f aca="false">IFERROR(IF(Investments!B62="","",Investments!B62),"")</f>
        <v/>
      </c>
      <c r="D95" s="112" t="str">
        <f aca="false">IFERROR(IF(Investments!A62="","",Investments!D62),"")</f>
        <v/>
      </c>
      <c r="E95" s="112" t="str">
        <f aca="false">IFERROR(IF(Investments!J62="","",Investments!J62),"")</f>
        <v/>
      </c>
      <c r="F95" s="112" t="str">
        <f aca="false">IFERROR(IF(Investments!A62="","",Investments!G62),"")</f>
        <v/>
      </c>
      <c r="G95" s="99" t="str">
        <f aca="false">IFERROR(IF(Investments!O62="","",Investments!O62),"")</f>
        <v/>
      </c>
      <c r="H95" s="99" t="str">
        <f aca="false">IFERROR(IF(Investments!P62="","",Investments!P62),"")</f>
        <v/>
      </c>
      <c r="I95" s="99" t="str">
        <f aca="false">IFERROR(IF(Investments!Q62="","",Investments!Q62),"")</f>
        <v/>
      </c>
      <c r="J95" s="99" t="str">
        <f aca="false">IFERROR(IF(Investments!U62="","",Investments!U62),"")</f>
        <v/>
      </c>
      <c r="K95" s="99" t="str">
        <f aca="false">IFERROR(IF(Investments!V62="","",Investments!V62),"")</f>
        <v/>
      </c>
      <c r="L95" s="101" t="str">
        <f aca="false">IFERROR(IF(Investments!AB62="","",Investments!AB62),"")</f>
        <v/>
      </c>
      <c r="M95" s="113" t="str">
        <f aca="false">IFERROR(IF(Investments!A62="","",IFERROR(VLOOKUP(Investments!A62,GC_Framework!$A$5:$P$204,2,FALSE()),"")),"")</f>
        <v/>
      </c>
      <c r="N95" s="111" t="str">
        <f aca="false">IFERROR(IF(Investments!A62="","",IFERROR(VLOOKUP(Investments!A62,GC_Framework!$A$5:$P$204,3,FALSE()),"")),"")</f>
        <v/>
      </c>
      <c r="O95" s="112" t="str">
        <f aca="false">IFERROR(IF(Investments!A62="","",IFERROR(VLOOKUP(Investments!A62,GC_Framework!$A$5:$P$204,5,FALSE()),"")),"")</f>
        <v/>
      </c>
      <c r="P95" s="112" t="str">
        <f aca="false">IFERROR(IF(Investments!A62="","",IFERROR(VLOOKUP(Investments!A62,GC_Framework!$A$5:$P$204,9,FALSE()),"")),"")</f>
        <v/>
      </c>
    </row>
    <row r="96" customFormat="false" ht="19.5" hidden="false" customHeight="true" outlineLevel="0" collapsed="false">
      <c r="B96" s="108" t="str">
        <f aca="false">IFERROR(IF(Investments!A63="","",Investments!A63),"")</f>
        <v/>
      </c>
      <c r="C96" s="93" t="str">
        <f aca="false">IFERROR(IF(Investments!B63="","",Investments!B63),"")</f>
        <v/>
      </c>
      <c r="D96" s="109" t="str">
        <f aca="false">IFERROR(IF(Investments!A63="","",Investments!D63),"")</f>
        <v/>
      </c>
      <c r="E96" s="109" t="str">
        <f aca="false">IFERROR(IF(Investments!J63="","",Investments!J63),"")</f>
        <v/>
      </c>
      <c r="F96" s="109" t="str">
        <f aca="false">IFERROR(IF(Investments!A63="","",Investments!G63),"")</f>
        <v/>
      </c>
      <c r="G96" s="94" t="str">
        <f aca="false">IFERROR(IF(Investments!O63="","",Investments!O63),"")</f>
        <v/>
      </c>
      <c r="H96" s="94" t="str">
        <f aca="false">IFERROR(IF(Investments!P63="","",Investments!P63),"")</f>
        <v/>
      </c>
      <c r="I96" s="94" t="str">
        <f aca="false">IFERROR(IF(Investments!Q63="","",Investments!Q63),"")</f>
        <v/>
      </c>
      <c r="J96" s="94" t="str">
        <f aca="false">IFERROR(IF(Investments!U63="","",Investments!U63),"")</f>
        <v/>
      </c>
      <c r="K96" s="94" t="str">
        <f aca="false">IFERROR(IF(Investments!V63="","",Investments!V63),"")</f>
        <v/>
      </c>
      <c r="L96" s="96" t="str">
        <f aca="false">IFERROR(IF(Investments!AB63="","",Investments!AB63),"")</f>
        <v/>
      </c>
      <c r="M96" s="110" t="str">
        <f aca="false">IFERROR(IF(Investments!A63="","",IFERROR(VLOOKUP(Investments!A63,GC_Framework!$A$5:$P$204,2,FALSE()),"")),"")</f>
        <v/>
      </c>
      <c r="N96" s="108" t="str">
        <f aca="false">IFERROR(IF(Investments!A63="","",IFERROR(VLOOKUP(Investments!A63,GC_Framework!$A$5:$P$204,3,FALSE()),"")),"")</f>
        <v/>
      </c>
      <c r="O96" s="109" t="str">
        <f aca="false">IFERROR(IF(Investments!A63="","",IFERROR(VLOOKUP(Investments!A63,GC_Framework!$A$5:$P$204,5,FALSE()),"")),"")</f>
        <v/>
      </c>
      <c r="P96" s="109" t="str">
        <f aca="false">IFERROR(IF(Investments!A63="","",IFERROR(VLOOKUP(Investments!A63,GC_Framework!$A$5:$P$204,9,FALSE()),"")),"")</f>
        <v/>
      </c>
    </row>
    <row r="97" customFormat="false" ht="19.5" hidden="false" customHeight="true" outlineLevel="0" collapsed="false">
      <c r="B97" s="111" t="str">
        <f aca="false">IFERROR(IF(Investments!A64="","",Investments!A64),"")</f>
        <v/>
      </c>
      <c r="C97" s="98" t="str">
        <f aca="false">IFERROR(IF(Investments!B64="","",Investments!B64),"")</f>
        <v/>
      </c>
      <c r="D97" s="112" t="str">
        <f aca="false">IFERROR(IF(Investments!A64="","",Investments!D64),"")</f>
        <v/>
      </c>
      <c r="E97" s="112" t="str">
        <f aca="false">IFERROR(IF(Investments!J64="","",Investments!J64),"")</f>
        <v/>
      </c>
      <c r="F97" s="112" t="str">
        <f aca="false">IFERROR(IF(Investments!A64="","",Investments!G64),"")</f>
        <v/>
      </c>
      <c r="G97" s="99" t="str">
        <f aca="false">IFERROR(IF(Investments!O64="","",Investments!O64),"")</f>
        <v/>
      </c>
      <c r="H97" s="99" t="str">
        <f aca="false">IFERROR(IF(Investments!P64="","",Investments!P64),"")</f>
        <v/>
      </c>
      <c r="I97" s="99" t="str">
        <f aca="false">IFERROR(IF(Investments!Q64="","",Investments!Q64),"")</f>
        <v/>
      </c>
      <c r="J97" s="99" t="str">
        <f aca="false">IFERROR(IF(Investments!U64="","",Investments!U64),"")</f>
        <v/>
      </c>
      <c r="K97" s="99" t="str">
        <f aca="false">IFERROR(IF(Investments!V64="","",Investments!V64),"")</f>
        <v/>
      </c>
      <c r="L97" s="101" t="str">
        <f aca="false">IFERROR(IF(Investments!AB64="","",Investments!AB64),"")</f>
        <v/>
      </c>
      <c r="M97" s="113" t="str">
        <f aca="false">IFERROR(IF(Investments!A64="","",IFERROR(VLOOKUP(Investments!A64,GC_Framework!$A$5:$P$204,2,FALSE()),"")),"")</f>
        <v/>
      </c>
      <c r="N97" s="111" t="str">
        <f aca="false">IFERROR(IF(Investments!A64="","",IFERROR(VLOOKUP(Investments!A64,GC_Framework!$A$5:$P$204,3,FALSE()),"")),"")</f>
        <v/>
      </c>
      <c r="O97" s="112" t="str">
        <f aca="false">IFERROR(IF(Investments!A64="","",IFERROR(VLOOKUP(Investments!A64,GC_Framework!$A$5:$P$204,5,FALSE()),"")),"")</f>
        <v/>
      </c>
      <c r="P97" s="112" t="str">
        <f aca="false">IFERROR(IF(Investments!A64="","",IFERROR(VLOOKUP(Investments!A64,GC_Framework!$A$5:$P$204,9,FALSE()),"")),"")</f>
        <v/>
      </c>
    </row>
    <row r="98" customFormat="false" ht="19.5" hidden="false" customHeight="true" outlineLevel="0" collapsed="false">
      <c r="B98" s="108" t="str">
        <f aca="false">IFERROR(IF(Investments!A65="","",Investments!A65),"")</f>
        <v/>
      </c>
      <c r="C98" s="93" t="str">
        <f aca="false">IFERROR(IF(Investments!B65="","",Investments!B65),"")</f>
        <v/>
      </c>
      <c r="D98" s="109" t="str">
        <f aca="false">IFERROR(IF(Investments!A65="","",Investments!D65),"")</f>
        <v/>
      </c>
      <c r="E98" s="109" t="str">
        <f aca="false">IFERROR(IF(Investments!J65="","",Investments!J65),"")</f>
        <v/>
      </c>
      <c r="F98" s="109" t="str">
        <f aca="false">IFERROR(IF(Investments!A65="","",Investments!G65),"")</f>
        <v/>
      </c>
      <c r="G98" s="94" t="str">
        <f aca="false">IFERROR(IF(Investments!O65="","",Investments!O65),"")</f>
        <v/>
      </c>
      <c r="H98" s="94" t="str">
        <f aca="false">IFERROR(IF(Investments!P65="","",Investments!P65),"")</f>
        <v/>
      </c>
      <c r="I98" s="94" t="str">
        <f aca="false">IFERROR(IF(Investments!Q65="","",Investments!Q65),"")</f>
        <v/>
      </c>
      <c r="J98" s="94" t="str">
        <f aca="false">IFERROR(IF(Investments!U65="","",Investments!U65),"")</f>
        <v/>
      </c>
      <c r="K98" s="94" t="str">
        <f aca="false">IFERROR(IF(Investments!V65="","",Investments!V65),"")</f>
        <v/>
      </c>
      <c r="L98" s="96" t="str">
        <f aca="false">IFERROR(IF(Investments!AB65="","",Investments!AB65),"")</f>
        <v/>
      </c>
      <c r="M98" s="110" t="str">
        <f aca="false">IFERROR(IF(Investments!A65="","",IFERROR(VLOOKUP(Investments!A65,GC_Framework!$A$5:$P$204,2,FALSE()),"")),"")</f>
        <v/>
      </c>
      <c r="N98" s="108" t="str">
        <f aca="false">IFERROR(IF(Investments!A65="","",IFERROR(VLOOKUP(Investments!A65,GC_Framework!$A$5:$P$204,3,FALSE()),"")),"")</f>
        <v/>
      </c>
      <c r="O98" s="109" t="str">
        <f aca="false">IFERROR(IF(Investments!A65="","",IFERROR(VLOOKUP(Investments!A65,GC_Framework!$A$5:$P$204,5,FALSE()),"")),"")</f>
        <v/>
      </c>
      <c r="P98" s="109" t="str">
        <f aca="false">IFERROR(IF(Investments!A65="","",IFERROR(VLOOKUP(Investments!A65,GC_Framework!$A$5:$P$204,9,FALSE()),"")),"")</f>
        <v/>
      </c>
    </row>
    <row r="99" customFormat="false" ht="19.5" hidden="false" customHeight="true" outlineLevel="0" collapsed="false">
      <c r="B99" s="111" t="str">
        <f aca="false">IFERROR(IF(Investments!A66="","",Investments!A66),"")</f>
        <v/>
      </c>
      <c r="C99" s="98" t="str">
        <f aca="false">IFERROR(IF(Investments!B66="","",Investments!B66),"")</f>
        <v/>
      </c>
      <c r="D99" s="112" t="str">
        <f aca="false">IFERROR(IF(Investments!A66="","",Investments!D66),"")</f>
        <v/>
      </c>
      <c r="E99" s="112" t="str">
        <f aca="false">IFERROR(IF(Investments!J66="","",Investments!J66),"")</f>
        <v/>
      </c>
      <c r="F99" s="112" t="str">
        <f aca="false">IFERROR(IF(Investments!A66="","",Investments!G66),"")</f>
        <v/>
      </c>
      <c r="G99" s="99" t="str">
        <f aca="false">IFERROR(IF(Investments!O66="","",Investments!O66),"")</f>
        <v/>
      </c>
      <c r="H99" s="99" t="str">
        <f aca="false">IFERROR(IF(Investments!P66="","",Investments!P66),"")</f>
        <v/>
      </c>
      <c r="I99" s="99" t="str">
        <f aca="false">IFERROR(IF(Investments!Q66="","",Investments!Q66),"")</f>
        <v/>
      </c>
      <c r="J99" s="99" t="str">
        <f aca="false">IFERROR(IF(Investments!U66="","",Investments!U66),"")</f>
        <v/>
      </c>
      <c r="K99" s="99" t="str">
        <f aca="false">IFERROR(IF(Investments!V66="","",Investments!V66),"")</f>
        <v/>
      </c>
      <c r="L99" s="101" t="str">
        <f aca="false">IFERROR(IF(Investments!AB66="","",Investments!AB66),"")</f>
        <v/>
      </c>
      <c r="M99" s="113" t="str">
        <f aca="false">IFERROR(IF(Investments!A66="","",IFERROR(VLOOKUP(Investments!A66,GC_Framework!$A$5:$P$204,2,FALSE()),"")),"")</f>
        <v/>
      </c>
      <c r="N99" s="111" t="str">
        <f aca="false">IFERROR(IF(Investments!A66="","",IFERROR(VLOOKUP(Investments!A66,GC_Framework!$A$5:$P$204,3,FALSE()),"")),"")</f>
        <v/>
      </c>
      <c r="O99" s="112" t="str">
        <f aca="false">IFERROR(IF(Investments!A66="","",IFERROR(VLOOKUP(Investments!A66,GC_Framework!$A$5:$P$204,5,FALSE()),"")),"")</f>
        <v/>
      </c>
      <c r="P99" s="112" t="str">
        <f aca="false">IFERROR(IF(Investments!A66="","",IFERROR(VLOOKUP(Investments!A66,GC_Framework!$A$5:$P$204,9,FALSE()),"")),"")</f>
        <v/>
      </c>
    </row>
    <row r="101" customFormat="false" ht="6" hidden="false" customHeight="true" outlineLevel="0" collapsed="false">
      <c r="A101" s="73"/>
      <c r="B101" s="73"/>
      <c r="C101" s="73"/>
      <c r="D101" s="73"/>
      <c r="E101" s="73"/>
      <c r="F101" s="73"/>
      <c r="G101" s="73"/>
      <c r="H101" s="73"/>
      <c r="I101" s="73"/>
      <c r="J101" s="73"/>
      <c r="K101" s="73"/>
      <c r="L101" s="73"/>
      <c r="M101" s="73"/>
      <c r="N101" s="73"/>
      <c r="O101" s="73"/>
      <c r="P101" s="73"/>
    </row>
    <row r="102" customFormat="false" ht="18" hidden="false" customHeight="true" outlineLevel="0" collapsed="false">
      <c r="B102" s="114" t="s">
        <v>255</v>
      </c>
      <c r="C102" s="114"/>
      <c r="D102" s="114"/>
      <c r="E102" s="114"/>
      <c r="F102" s="114"/>
      <c r="G102" s="114"/>
      <c r="H102" s="114"/>
      <c r="I102" s="114"/>
      <c r="J102" s="114"/>
      <c r="K102" s="114"/>
      <c r="L102" s="114"/>
      <c r="M102" s="114"/>
      <c r="N102" s="114"/>
      <c r="O102" s="114"/>
      <c r="P102" s="114"/>
    </row>
  </sheetData>
  <mergeCells count="25">
    <mergeCell ref="B3:H3"/>
    <mergeCell ref="C5:D5"/>
    <mergeCell ref="C6:D6"/>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3:H13"/>
    <mergeCell ref="J13:P13"/>
    <mergeCell ref="B38:P38"/>
    <mergeCell ref="B102:P102"/>
  </mergeCells>
  <conditionalFormatting sqref="E15:E19">
    <cfRule type="dataBar" priority="2">
      <dataBar showValue="1" minLength="10" maxLength="90">
        <cfvo type="num" val="0"/>
        <cfvo type="num" val="1"/>
        <color rgb="FFD97706"/>
      </dataBar>
      <extLst>
        <ext xmlns:x14="http://schemas.microsoft.com/office/spreadsheetml/2009/9/main" uri="{B025F937-C7B1-47D3-B67F-A62EFF666E3E}">
          <x14:id>{BAB153CD-96E2-4F97-B5E7-4AF669F1F94B}</x14:id>
        </ext>
      </extLst>
    </cfRule>
  </conditionalFormatting>
  <conditionalFormatting sqref="M40:M99">
    <cfRule type="cellIs" priority="3" operator="greaterThanOrEqual" aboveAverage="0" equalAverage="0" bottom="0" percent="0" rank="0" text="" dxfId="8">
      <formula>75</formula>
    </cfRule>
    <cfRule type="cellIs" priority="4" operator="between" aboveAverage="0" equalAverage="0" bottom="0" percent="0" rank="0" text="" dxfId="9">
      <formula>60</formula>
      <formula>74</formula>
    </cfRule>
    <cfRule type="cellIs" priority="5" operator="lessThan" aboveAverage="0" equalAverage="0" bottom="0" percent="0" rank="0" text="" dxfId="10">
      <formula>60</formula>
    </cfRule>
  </conditionalFormatting>
  <conditionalFormatting sqref="F40:F99">
    <cfRule type="expression" priority="6" aboveAverage="0" equalAverage="0" bottom="0" percent="0" rank="0" text="" dxfId="11">
      <formula>ISNUMBER(SEARCH("Active",F40))</formula>
    </cfRule>
    <cfRule type="expression" priority="7" aboveAverage="0" equalAverage="0" bottom="0" percent="0" rank="0" text="" dxfId="12">
      <formula>ISNUMBER(SEARCH("Research",F40))</formula>
    </cfRule>
    <cfRule type="expression" priority="8" aboveAverage="0" equalAverage="0" bottom="0" percent="0" rank="0" text="" dxfId="13">
      <formula>ISNUMBER(SEARCH("Partial",F40))</formula>
    </cfRule>
    <cfRule type="expression" priority="9" aboveAverage="0" equalAverage="0" bottom="0" percent="0" rank="0" text="" dxfId="14">
      <formula>ISNUMBER(SEARCH("Closed",F40))</formula>
    </cfRule>
  </conditionalFormatting>
  <conditionalFormatting sqref="P40:P99">
    <cfRule type="expression" priority="10" aboveAverage="0" equalAverage="0" bottom="0" percent="0" rank="0" text="" dxfId="11">
      <formula>ISNUMBER(SEARCH("Resistant",P40))</formula>
    </cfRule>
    <cfRule type="expression" priority="11" aboveAverage="0" equalAverage="0" bottom="0" percent="0" rank="0" text="" dxfId="15">
      <formula>ISNUMBER(SEARCH("Oversized",P40))</formula>
    </cfRule>
    <cfRule type="expression" priority="12" aboveAverage="0" equalAverage="0" bottom="0" percent="0" rank="0" text="" dxfId="13">
      <formula>ISNUMBER(SEARCH("Under",P40))</formula>
    </cfRule>
  </conditionalFormatting>
  <dataValidations count="2">
    <dataValidation allowBlank="true" errorStyle="stop" operator="between" showDropDown="false" showErrorMessage="false" showInputMessage="false" sqref="B6" type="list">
      <formula1>"All,Taxable,SDIRA,Roth IRA,Traditional IRA,Trust"</formula1>
      <formula2>0</formula2>
    </dataValidation>
    <dataValidation allowBlank="true" errorStyle="stop" operator="between" showDropDown="false" showErrorMessage="false" showInputMessage="false" sqref="C6:D6" type="list">
      <formula1>"All,VC,Private Equity,Real Estate,Private Credit,Other"</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BAB153CD-96E2-4F97-B5E7-4AF669F1F94B}">
            <x14:dataBar minLength="10" maxLength="90" axisPosition="none" gradient="true">
              <x14:cfvo type="num">
                <xm:f>0</xm:f>
              </x14:cfvo>
              <x14:cfvo type="num">
                <xm:f>1</xm:f>
              </x14:cfvo>
              <x14:negativeFillColor rgb="FFD97706"/>
              <x14:axisColor rgb="FF000000"/>
            </x14:dataBar>
          </x14:cfRule>
          <xm:sqref>E15:E19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2" min="2" style="1" width="28"/>
  </cols>
  <sheetData>
    <row r="1" customFormat="false" ht="15" hidden="false" customHeight="true" outlineLevel="0" collapsed="false">
      <c r="A1" s="115" t="s">
        <v>256</v>
      </c>
      <c r="B1" s="115" t="s">
        <v>257</v>
      </c>
    </row>
    <row r="2" customFormat="false" ht="15" hidden="false" customHeight="true" outlineLevel="0" collapsed="false">
      <c r="A2" s="1" t="s">
        <v>258</v>
      </c>
      <c r="B2" s="1" t="s">
        <v>115</v>
      </c>
    </row>
    <row r="3" customFormat="false" ht="15" hidden="false" customHeight="true" outlineLevel="0" collapsed="false">
      <c r="A3" s="1" t="s">
        <v>258</v>
      </c>
      <c r="B3" s="1" t="s">
        <v>106</v>
      </c>
    </row>
    <row r="4" customFormat="false" ht="15" hidden="false" customHeight="true" outlineLevel="0" collapsed="false">
      <c r="A4" s="1" t="s">
        <v>258</v>
      </c>
      <c r="B4" s="1" t="s">
        <v>91</v>
      </c>
    </row>
    <row r="5" customFormat="false" ht="15" hidden="false" customHeight="true" outlineLevel="0" collapsed="false">
      <c r="A5" s="1" t="s">
        <v>258</v>
      </c>
      <c r="B5" s="1" t="s">
        <v>166</v>
      </c>
    </row>
    <row r="6" customFormat="false" ht="15" hidden="false" customHeight="true" outlineLevel="0" collapsed="false">
      <c r="A6" s="1" t="s">
        <v>258</v>
      </c>
      <c r="B6" s="1" t="s">
        <v>192</v>
      </c>
    </row>
    <row r="7" customFormat="false" ht="15" hidden="false" customHeight="true" outlineLevel="0" collapsed="false">
      <c r="A7" s="1" t="s">
        <v>259</v>
      </c>
      <c r="B7" s="1" t="s">
        <v>96</v>
      </c>
    </row>
    <row r="8" customFormat="false" ht="15" hidden="false" customHeight="true" outlineLevel="0" collapsed="false">
      <c r="A8" s="1" t="s">
        <v>259</v>
      </c>
      <c r="B8" s="1" t="s">
        <v>119</v>
      </c>
    </row>
    <row r="9" customFormat="false" ht="15" hidden="false" customHeight="true" outlineLevel="0" collapsed="false">
      <c r="A9" s="1" t="s">
        <v>259</v>
      </c>
      <c r="B9" s="1" t="s">
        <v>260</v>
      </c>
    </row>
    <row r="10" customFormat="false" ht="15" hidden="false" customHeight="true" outlineLevel="0" collapsed="false">
      <c r="A10" s="1" t="s">
        <v>259</v>
      </c>
      <c r="B10" s="1" t="s">
        <v>261</v>
      </c>
    </row>
    <row r="11" customFormat="false" ht="15" hidden="false" customHeight="true" outlineLevel="0" collapsed="false">
      <c r="A11" s="1" t="s">
        <v>259</v>
      </c>
      <c r="B11" s="1" t="s">
        <v>192</v>
      </c>
    </row>
    <row r="12" customFormat="false" ht="15" hidden="false" customHeight="true" outlineLevel="0" collapsed="false">
      <c r="A12" s="1" t="s">
        <v>262</v>
      </c>
      <c r="B12" s="1" t="s">
        <v>195</v>
      </c>
    </row>
    <row r="13" customFormat="false" ht="15" hidden="false" customHeight="true" outlineLevel="0" collapsed="false">
      <c r="A13" s="1" t="s">
        <v>262</v>
      </c>
      <c r="B13" s="1" t="s">
        <v>196</v>
      </c>
    </row>
    <row r="14" customFormat="false" ht="15" hidden="false" customHeight="true" outlineLevel="0" collapsed="false">
      <c r="A14" s="1" t="s">
        <v>262</v>
      </c>
      <c r="B14" s="1" t="s">
        <v>197</v>
      </c>
    </row>
    <row r="15" customFormat="false" ht="15" hidden="false" customHeight="true" outlineLevel="0" collapsed="false">
      <c r="A15" s="1" t="s">
        <v>262</v>
      </c>
      <c r="B15" s="1" t="s">
        <v>198</v>
      </c>
    </row>
    <row r="16" customFormat="false" ht="15" hidden="false" customHeight="true" outlineLevel="0" collapsed="false">
      <c r="A16" s="1" t="s">
        <v>262</v>
      </c>
      <c r="B16" s="1" t="s">
        <v>199</v>
      </c>
    </row>
    <row r="17" customFormat="false" ht="15" hidden="false" customHeight="true" outlineLevel="0" collapsed="false">
      <c r="A17" s="1" t="s">
        <v>262</v>
      </c>
      <c r="B17" s="1" t="s">
        <v>192</v>
      </c>
    </row>
    <row r="18" customFormat="false" ht="15" hidden="false" customHeight="true" outlineLevel="0" collapsed="false">
      <c r="A18" s="1" t="s">
        <v>262</v>
      </c>
      <c r="B18" s="1" t="s">
        <v>209</v>
      </c>
    </row>
    <row r="19" customFormat="false" ht="15" hidden="false" customHeight="true" outlineLevel="0" collapsed="false">
      <c r="A19" s="1" t="s">
        <v>263</v>
      </c>
      <c r="B19" s="1" t="s">
        <v>120</v>
      </c>
    </row>
    <row r="20" customFormat="false" ht="15" hidden="false" customHeight="true" outlineLevel="0" collapsed="false">
      <c r="A20" s="1" t="s">
        <v>263</v>
      </c>
      <c r="B20" s="1" t="s">
        <v>99</v>
      </c>
    </row>
    <row r="21" customFormat="false" ht="15" hidden="false" customHeight="true" outlineLevel="0" collapsed="false">
      <c r="A21" s="1" t="s">
        <v>263</v>
      </c>
      <c r="B21" s="1" t="s">
        <v>202</v>
      </c>
    </row>
    <row r="22" customFormat="false" ht="15" hidden="false" customHeight="true" outlineLevel="0" collapsed="false">
      <c r="A22" s="1" t="s">
        <v>263</v>
      </c>
      <c r="B22" s="1" t="s">
        <v>203</v>
      </c>
    </row>
    <row r="23" customFormat="false" ht="15" hidden="false" customHeight="true" outlineLevel="0" collapsed="false">
      <c r="A23" s="1" t="s">
        <v>263</v>
      </c>
      <c r="B23" s="1" t="s">
        <v>204</v>
      </c>
    </row>
    <row r="24" customFormat="false" ht="15" hidden="false" customHeight="true" outlineLevel="0" collapsed="false">
      <c r="A24" s="1" t="s">
        <v>264</v>
      </c>
      <c r="B24" s="1" t="s">
        <v>265</v>
      </c>
    </row>
    <row r="25" customFormat="false" ht="15" hidden="false" customHeight="true" outlineLevel="0" collapsed="false">
      <c r="A25" s="1" t="s">
        <v>264</v>
      </c>
      <c r="B25" s="1" t="s">
        <v>187</v>
      </c>
    </row>
    <row r="26" customFormat="false" ht="15" hidden="false" customHeight="true" outlineLevel="0" collapsed="false">
      <c r="A26" s="1" t="s">
        <v>264</v>
      </c>
      <c r="B26" s="1" t="s">
        <v>188</v>
      </c>
    </row>
    <row r="27" customFormat="false" ht="15" hidden="false" customHeight="true" outlineLevel="0" collapsed="false">
      <c r="A27" s="1" t="s">
        <v>264</v>
      </c>
      <c r="B27" s="1" t="s">
        <v>266</v>
      </c>
    </row>
    <row r="28" customFormat="false" ht="15" hidden="false" customHeight="true" outlineLevel="0" collapsed="false">
      <c r="A28" s="1" t="s">
        <v>264</v>
      </c>
      <c r="B28" s="1" t="s">
        <v>267</v>
      </c>
    </row>
    <row r="29" customFormat="false" ht="15" hidden="false" customHeight="true" outlineLevel="0" collapsed="false">
      <c r="A29" s="1" t="s">
        <v>264</v>
      </c>
      <c r="B29" s="1" t="s">
        <v>268</v>
      </c>
    </row>
    <row r="30" customFormat="false" ht="15" hidden="false" customHeight="true" outlineLevel="0" collapsed="false">
      <c r="A30" s="1" t="s">
        <v>264</v>
      </c>
      <c r="B30" s="1" t="s">
        <v>269</v>
      </c>
    </row>
    <row r="31" customFormat="false" ht="15" hidden="false" customHeight="true" outlineLevel="0" collapsed="false">
      <c r="A31" s="1" t="s">
        <v>270</v>
      </c>
      <c r="B31" s="1" t="s">
        <v>271</v>
      </c>
    </row>
    <row r="32" customFormat="false" ht="15" hidden="false" customHeight="true" outlineLevel="0" collapsed="false">
      <c r="A32" s="1" t="s">
        <v>270</v>
      </c>
      <c r="B32" s="1" t="s">
        <v>180</v>
      </c>
    </row>
    <row r="33" customFormat="false" ht="15" hidden="false" customHeight="true" outlineLevel="0" collapsed="false">
      <c r="A33" s="1" t="s">
        <v>270</v>
      </c>
      <c r="B33" s="1" t="s">
        <v>272</v>
      </c>
    </row>
    <row r="34" customFormat="false" ht="15" hidden="false" customHeight="true" outlineLevel="0" collapsed="false">
      <c r="A34" s="1" t="s">
        <v>270</v>
      </c>
      <c r="B34" s="1" t="s">
        <v>273</v>
      </c>
    </row>
    <row r="35" customFormat="false" ht="15" hidden="false" customHeight="true" outlineLevel="0" collapsed="false">
      <c r="A35" s="1" t="s">
        <v>270</v>
      </c>
      <c r="B35" s="1" t="s">
        <v>192</v>
      </c>
    </row>
    <row r="36" customFormat="false" ht="15" hidden="false" customHeight="true" outlineLevel="0" collapsed="false">
      <c r="A36" s="1" t="s">
        <v>274</v>
      </c>
      <c r="B36" s="1" t="s">
        <v>275</v>
      </c>
    </row>
    <row r="37" customFormat="false" ht="15" hidden="false" customHeight="true" outlineLevel="0" collapsed="false">
      <c r="A37" s="1" t="s">
        <v>274</v>
      </c>
      <c r="B37" s="1" t="s">
        <v>276</v>
      </c>
    </row>
    <row r="38" customFormat="false" ht="14.25" hidden="false" customHeight="false" outlineLevel="0" collapsed="false">
      <c r="A38" s="1" t="s">
        <v>277</v>
      </c>
      <c r="B38" s="1" t="s">
        <v>222</v>
      </c>
      <c r="C38" s="116" t="s">
        <v>278</v>
      </c>
    </row>
    <row r="39" customFormat="false" ht="14.25" hidden="false" customHeight="false" outlineLevel="0" collapsed="false">
      <c r="A39" s="1" t="s">
        <v>277</v>
      </c>
      <c r="B39" s="1" t="s">
        <v>223</v>
      </c>
      <c r="C39" s="116" t="s">
        <v>279</v>
      </c>
    </row>
    <row r="40" customFormat="false" ht="14.25" hidden="false" customHeight="false" outlineLevel="0" collapsed="false">
      <c r="A40" s="1" t="s">
        <v>277</v>
      </c>
      <c r="B40" s="1" t="s">
        <v>224</v>
      </c>
      <c r="C40" s="116" t="s">
        <v>280</v>
      </c>
    </row>
    <row r="41" customFormat="false" ht="14.25" hidden="false" customHeight="false" outlineLevel="0" collapsed="false">
      <c r="A41" s="1" t="s">
        <v>277</v>
      </c>
      <c r="B41" s="1" t="s">
        <v>225</v>
      </c>
      <c r="C41" s="116" t="s">
        <v>281</v>
      </c>
    </row>
    <row r="42" customFormat="false" ht="14.25" hidden="false" customHeight="false" outlineLevel="0" collapsed="false">
      <c r="A42" s="1" t="s">
        <v>277</v>
      </c>
      <c r="B42" s="1" t="s">
        <v>226</v>
      </c>
      <c r="C42" s="116" t="s">
        <v>282</v>
      </c>
    </row>
    <row r="43" customFormat="false" ht="14.25" hidden="false" customHeight="false" outlineLevel="0" collapsed="false">
      <c r="A43" s="1" t="s">
        <v>277</v>
      </c>
      <c r="B43" s="1" t="s">
        <v>232</v>
      </c>
      <c r="C43" s="116" t="s">
        <v>283</v>
      </c>
    </row>
    <row r="44" customFormat="false" ht="14.25" hidden="false" customHeight="false" outlineLevel="0" collapsed="false">
      <c r="A44" s="1" t="s">
        <v>277</v>
      </c>
      <c r="B44" s="1" t="s">
        <v>233</v>
      </c>
      <c r="C44" s="116" t="s">
        <v>284</v>
      </c>
    </row>
    <row r="45" customFormat="false" ht="14.25" hidden="false" customHeight="false" outlineLevel="0" collapsed="false">
      <c r="A45" s="1" t="s">
        <v>277</v>
      </c>
      <c r="B45" s="1" t="s">
        <v>234</v>
      </c>
      <c r="C45" s="116" t="s">
        <v>285</v>
      </c>
    </row>
    <row r="46" customFormat="false" ht="14.25" hidden="false" customHeight="false" outlineLevel="0" collapsed="false">
      <c r="A46" s="1" t="s">
        <v>277</v>
      </c>
      <c r="B46" s="1" t="s">
        <v>235</v>
      </c>
      <c r="C46" s="116" t="s">
        <v>286</v>
      </c>
    </row>
    <row r="47" customFormat="false" ht="14.25" hidden="false" customHeight="false" outlineLevel="0" collapsed="false">
      <c r="A47" s="1" t="s">
        <v>277</v>
      </c>
      <c r="B47" s="1" t="s">
        <v>236</v>
      </c>
      <c r="C47" s="116" t="s">
        <v>287</v>
      </c>
    </row>
    <row r="48" customFormat="false" ht="14.25" hidden="false" customHeight="false" outlineLevel="0" collapsed="false">
      <c r="A48" s="1" t="s">
        <v>288</v>
      </c>
      <c r="B48" s="1" t="s">
        <v>289</v>
      </c>
    </row>
    <row r="49" customFormat="false" ht="14.25" hidden="false" customHeight="false" outlineLevel="0" collapsed="false">
      <c r="A49" s="1" t="s">
        <v>288</v>
      </c>
      <c r="B49" s="1" t="s">
        <v>290</v>
      </c>
    </row>
    <row r="50" customFormat="false" ht="14.25" hidden="false" customHeight="false" outlineLevel="0" collapsed="false">
      <c r="A50" s="1" t="s">
        <v>288</v>
      </c>
      <c r="B50" s="1" t="s">
        <v>291</v>
      </c>
    </row>
    <row r="51" customFormat="false" ht="14.25" hidden="false" customHeight="false" outlineLevel="0" collapsed="false">
      <c r="A51" s="1" t="s">
        <v>288</v>
      </c>
      <c r="B51" s="1" t="s">
        <v>292</v>
      </c>
    </row>
    <row r="52" customFormat="false" ht="14.25" hidden="false" customHeight="false" outlineLevel="0" collapsed="false">
      <c r="A52" s="1" t="s">
        <v>288</v>
      </c>
      <c r="B52" s="1" t="s">
        <v>293</v>
      </c>
    </row>
    <row r="53" customFormat="false" ht="14.25" hidden="false" customHeight="false" outlineLevel="0" collapsed="false">
      <c r="A53" s="1" t="s">
        <v>294</v>
      </c>
      <c r="B53" s="1" t="s">
        <v>295</v>
      </c>
    </row>
    <row r="54" customFormat="false" ht="14.25" hidden="false" customHeight="false" outlineLevel="0" collapsed="false">
      <c r="A54" s="1" t="s">
        <v>294</v>
      </c>
      <c r="B54" s="1" t="s">
        <v>296</v>
      </c>
    </row>
    <row r="55" customFormat="false" ht="14.25" hidden="false" customHeight="false" outlineLevel="0" collapsed="false">
      <c r="A55" s="1" t="s">
        <v>294</v>
      </c>
      <c r="B55" s="1"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P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7"/>
    <col collapsed="false" customWidth="true" hidden="false" outlineLevel="0" max="4" min="4" style="1" width="23.54"/>
    <col collapsed="false" customWidth="true" hidden="false" outlineLevel="0" max="5" min="5" style="1" width="20"/>
    <col collapsed="false" customWidth="true" hidden="false" outlineLevel="0" max="6" min="6" style="1" width="14"/>
    <col collapsed="false" customWidth="true" hidden="false" outlineLevel="0" max="7" min="7" style="1" width="40"/>
    <col collapsed="false" customWidth="true" hidden="false" outlineLevel="0" max="8" min="8" style="1" width="60"/>
    <col collapsed="false" customWidth="true" hidden="false" outlineLevel="0" max="9" min="9" style="1" width="18"/>
    <col collapsed="false" customWidth="true" hidden="false" outlineLevel="0" max="11" min="10" style="1" width="14"/>
    <col collapsed="false" customWidth="true" hidden="false" outlineLevel="0" max="12" min="12" style="1" width="18"/>
    <col collapsed="false" customWidth="true" hidden="false" outlineLevel="0" max="14" min="13" style="1" width="14"/>
    <col collapsed="false" customWidth="true" hidden="false" outlineLevel="0" max="15" min="15" style="1" width="12"/>
    <col collapsed="false" customWidth="true" hidden="false" outlineLevel="0" max="16" min="16" style="1" width="14"/>
  </cols>
  <sheetData>
    <row r="1" customFormat="false" ht="24" hidden="false" customHeight="true" outlineLevel="0" collapsed="false">
      <c r="A1" s="117" t="s">
        <v>298</v>
      </c>
      <c r="B1" s="117"/>
      <c r="C1" s="117"/>
      <c r="D1" s="117"/>
      <c r="E1" s="117"/>
      <c r="F1" s="117"/>
      <c r="G1" s="117"/>
      <c r="H1" s="117"/>
      <c r="I1" s="117"/>
      <c r="J1" s="117"/>
      <c r="K1" s="117"/>
      <c r="L1" s="117"/>
      <c r="M1" s="117"/>
      <c r="N1" s="117"/>
      <c r="O1" s="117"/>
      <c r="P1" s="117"/>
    </row>
    <row r="2" customFormat="false" ht="15" hidden="false" customHeight="true" outlineLevel="0" collapsed="false">
      <c r="A2" s="118" t="s">
        <v>299</v>
      </c>
      <c r="B2" s="118"/>
      <c r="C2" s="118"/>
      <c r="D2" s="118"/>
      <c r="E2" s="118"/>
      <c r="F2" s="118"/>
      <c r="G2" s="118"/>
      <c r="H2" s="118"/>
      <c r="I2" s="118"/>
      <c r="J2" s="118"/>
      <c r="K2" s="118"/>
      <c r="L2" s="118"/>
      <c r="M2" s="118"/>
      <c r="N2" s="118"/>
      <c r="O2" s="118"/>
      <c r="P2" s="118"/>
    </row>
    <row r="3" customFormat="false" ht="31.5" hidden="false" customHeight="true" outlineLevel="0" collapsed="false">
      <c r="A3" s="20" t="s">
        <v>300</v>
      </c>
      <c r="B3" s="20"/>
      <c r="C3" s="20"/>
      <c r="D3" s="20"/>
      <c r="E3" s="20"/>
      <c r="F3" s="20"/>
      <c r="G3" s="20"/>
      <c r="H3" s="20"/>
      <c r="I3" s="20"/>
      <c r="J3" s="20"/>
      <c r="K3" s="20"/>
    </row>
    <row r="4" customFormat="false" ht="33.75" hidden="false" customHeight="true" outlineLevel="0" collapsed="false">
      <c r="A4" s="119" t="s">
        <v>57</v>
      </c>
      <c r="B4" s="119" t="s">
        <v>301</v>
      </c>
      <c r="C4" s="119" t="s">
        <v>302</v>
      </c>
      <c r="D4" s="119" t="s">
        <v>303</v>
      </c>
      <c r="E4" s="119" t="s">
        <v>304</v>
      </c>
      <c r="F4" s="119" t="s">
        <v>294</v>
      </c>
      <c r="G4" s="119" t="s">
        <v>62</v>
      </c>
      <c r="H4" s="119" t="s">
        <v>305</v>
      </c>
      <c r="I4" s="119" t="s">
        <v>306</v>
      </c>
      <c r="J4" s="119" t="s">
        <v>307</v>
      </c>
      <c r="K4" s="119" t="s">
        <v>308</v>
      </c>
      <c r="L4" s="119" t="s">
        <v>309</v>
      </c>
      <c r="M4" s="119" t="s">
        <v>310</v>
      </c>
      <c r="N4" s="119" t="s">
        <v>311</v>
      </c>
      <c r="O4" s="119" t="s">
        <v>312</v>
      </c>
      <c r="P4" s="119" t="s">
        <v>313</v>
      </c>
    </row>
    <row r="5" customFormat="false" ht="36" hidden="false" customHeight="true" outlineLevel="0" collapsed="false">
      <c r="A5" s="120" t="s">
        <v>88</v>
      </c>
      <c r="B5" s="121"/>
      <c r="C5" s="120" t="s">
        <v>224</v>
      </c>
      <c r="D5" s="120" t="s">
        <v>280</v>
      </c>
      <c r="E5" s="120" t="s">
        <v>289</v>
      </c>
      <c r="F5" s="120" t="s">
        <v>295</v>
      </c>
      <c r="G5" s="122" t="s">
        <v>314</v>
      </c>
      <c r="H5" s="122" t="s">
        <v>315</v>
      </c>
      <c r="I5" s="120" t="s">
        <v>316</v>
      </c>
      <c r="J5" s="123"/>
      <c r="K5" s="123"/>
      <c r="L5" s="124"/>
      <c r="M5" s="125"/>
      <c r="N5" s="124"/>
      <c r="O5" s="109"/>
      <c r="P5" s="125"/>
    </row>
    <row r="6" customFormat="false" ht="36" hidden="false" customHeight="true" outlineLevel="0" collapsed="false">
      <c r="A6" s="120" t="s">
        <v>103</v>
      </c>
      <c r="B6" s="121"/>
      <c r="C6" s="120" t="s">
        <v>226</v>
      </c>
      <c r="D6" s="120" t="s">
        <v>282</v>
      </c>
      <c r="E6" s="120" t="s">
        <v>289</v>
      </c>
      <c r="F6" s="120" t="s">
        <v>295</v>
      </c>
      <c r="G6" s="122" t="s">
        <v>317</v>
      </c>
      <c r="H6" s="122" t="s">
        <v>318</v>
      </c>
      <c r="I6" s="120" t="s">
        <v>319</v>
      </c>
      <c r="J6" s="123"/>
      <c r="K6" s="123"/>
      <c r="L6" s="124"/>
      <c r="M6" s="125"/>
      <c r="N6" s="124"/>
      <c r="O6" s="109"/>
      <c r="P6" s="125"/>
    </row>
    <row r="7" customFormat="false" ht="36" hidden="false" customHeight="true" outlineLevel="0" collapsed="false">
      <c r="A7" s="120" t="s">
        <v>112</v>
      </c>
      <c r="B7" s="121"/>
      <c r="C7" s="120" t="s">
        <v>235</v>
      </c>
      <c r="D7" s="120" t="s">
        <v>286</v>
      </c>
      <c r="E7" s="120" t="s">
        <v>292</v>
      </c>
      <c r="F7" s="120" t="s">
        <v>296</v>
      </c>
      <c r="G7" s="122" t="s">
        <v>320</v>
      </c>
      <c r="H7" s="122" t="s">
        <v>321</v>
      </c>
      <c r="I7" s="120" t="s">
        <v>322</v>
      </c>
      <c r="J7" s="123"/>
      <c r="K7" s="123"/>
      <c r="L7" s="124"/>
      <c r="M7" s="125"/>
      <c r="N7" s="124"/>
      <c r="O7" s="109"/>
      <c r="P7" s="125"/>
    </row>
    <row r="8" customFormat="false" ht="36" hidden="false" customHeight="true" outlineLevel="0" collapsed="false">
      <c r="A8" s="120" t="s">
        <v>123</v>
      </c>
      <c r="B8" s="121" t="n">
        <v>78</v>
      </c>
      <c r="C8" s="120" t="s">
        <v>234</v>
      </c>
      <c r="D8" s="120" t="s">
        <v>323</v>
      </c>
      <c r="E8" s="120" t="s">
        <v>292</v>
      </c>
      <c r="F8" s="120" t="s">
        <v>297</v>
      </c>
      <c r="G8" s="122" t="s">
        <v>324</v>
      </c>
      <c r="H8" s="122" t="s">
        <v>325</v>
      </c>
      <c r="I8" s="120" t="s">
        <v>326</v>
      </c>
      <c r="J8" s="123"/>
      <c r="K8" s="123"/>
      <c r="L8" s="124"/>
      <c r="M8" s="125"/>
      <c r="N8" s="124"/>
      <c r="O8" s="109"/>
      <c r="P8" s="125"/>
    </row>
    <row r="9" customFormat="false" ht="36" hidden="false" customHeight="true" outlineLevel="0" collapsed="false">
      <c r="A9" s="120" t="s">
        <v>129</v>
      </c>
      <c r="B9" s="121" t="n">
        <v>88</v>
      </c>
      <c r="C9" s="120" t="s">
        <v>233</v>
      </c>
      <c r="D9" s="120" t="s">
        <v>327</v>
      </c>
      <c r="E9" s="120" t="s">
        <v>292</v>
      </c>
      <c r="F9" s="120" t="s">
        <v>296</v>
      </c>
      <c r="G9" s="122" t="s">
        <v>328</v>
      </c>
      <c r="H9" s="122" t="s">
        <v>329</v>
      </c>
      <c r="I9" s="120" t="s">
        <v>330</v>
      </c>
      <c r="J9" s="123"/>
      <c r="K9" s="123"/>
      <c r="L9" s="124"/>
      <c r="M9" s="125"/>
      <c r="N9" s="124"/>
      <c r="O9" s="109"/>
      <c r="P9" s="125"/>
    </row>
    <row r="10" customFormat="false" ht="36" hidden="false" customHeight="true" outlineLevel="0" collapsed="false">
      <c r="A10" s="120" t="s">
        <v>134</v>
      </c>
      <c r="B10" s="121"/>
      <c r="C10" s="120" t="s">
        <v>234</v>
      </c>
      <c r="D10" s="120" t="s">
        <v>323</v>
      </c>
      <c r="E10" s="120" t="s">
        <v>289</v>
      </c>
      <c r="F10" s="120" t="s">
        <v>295</v>
      </c>
      <c r="G10" s="122" t="s">
        <v>331</v>
      </c>
      <c r="H10" s="122" t="s">
        <v>332</v>
      </c>
      <c r="I10" s="120" t="s">
        <v>333</v>
      </c>
      <c r="J10" s="123"/>
      <c r="K10" s="123"/>
      <c r="L10" s="124"/>
      <c r="M10" s="125"/>
      <c r="N10" s="124"/>
      <c r="O10" s="109"/>
      <c r="P10" s="125"/>
    </row>
    <row r="11" customFormat="false" ht="36" hidden="false" customHeight="true" outlineLevel="0" collapsed="false">
      <c r="A11" s="120" t="s">
        <v>140</v>
      </c>
      <c r="B11" s="121"/>
      <c r="C11" s="120" t="s">
        <v>234</v>
      </c>
      <c r="D11" s="120" t="s">
        <v>323</v>
      </c>
      <c r="E11" s="120" t="s">
        <v>292</v>
      </c>
      <c r="F11" s="120" t="s">
        <v>296</v>
      </c>
      <c r="G11" s="122" t="s">
        <v>334</v>
      </c>
      <c r="H11" s="122" t="s">
        <v>335</v>
      </c>
      <c r="I11" s="120" t="s">
        <v>336</v>
      </c>
      <c r="J11" s="123"/>
      <c r="K11" s="123"/>
      <c r="L11" s="124"/>
      <c r="M11" s="125"/>
      <c r="N11" s="124"/>
      <c r="O11" s="109"/>
      <c r="P11" s="125"/>
    </row>
    <row r="12" customFormat="false" ht="36" hidden="false" customHeight="true" outlineLevel="0" collapsed="false">
      <c r="A12" s="120" t="s">
        <v>146</v>
      </c>
      <c r="B12" s="121"/>
      <c r="C12" s="120" t="s">
        <v>224</v>
      </c>
      <c r="D12" s="120" t="s">
        <v>280</v>
      </c>
      <c r="E12" s="120" t="s">
        <v>289</v>
      </c>
      <c r="F12" s="120" t="s">
        <v>295</v>
      </c>
      <c r="G12" s="122" t="s">
        <v>314</v>
      </c>
      <c r="H12" s="122" t="s">
        <v>337</v>
      </c>
      <c r="I12" s="120" t="s">
        <v>338</v>
      </c>
      <c r="J12" s="123"/>
      <c r="K12" s="123"/>
      <c r="L12" s="124"/>
      <c r="M12" s="125"/>
      <c r="N12" s="124"/>
      <c r="O12" s="109"/>
      <c r="P12" s="125"/>
    </row>
    <row r="13" customFormat="false" ht="36" hidden="false" customHeight="true" outlineLevel="0" collapsed="false">
      <c r="A13" s="120" t="s">
        <v>149</v>
      </c>
      <c r="B13" s="121"/>
      <c r="C13" s="120" t="s">
        <v>226</v>
      </c>
      <c r="D13" s="120" t="s">
        <v>282</v>
      </c>
      <c r="E13" s="120" t="s">
        <v>289</v>
      </c>
      <c r="F13" s="120" t="s">
        <v>295</v>
      </c>
      <c r="G13" s="122" t="s">
        <v>317</v>
      </c>
      <c r="H13" s="122" t="s">
        <v>318</v>
      </c>
      <c r="I13" s="120" t="s">
        <v>319</v>
      </c>
      <c r="J13" s="123"/>
      <c r="K13" s="123"/>
      <c r="L13" s="124"/>
      <c r="M13" s="125"/>
      <c r="N13" s="124"/>
      <c r="O13" s="109"/>
      <c r="P13" s="125"/>
    </row>
    <row r="14" customFormat="false" ht="36" hidden="false" customHeight="true" outlineLevel="0" collapsed="false">
      <c r="A14" s="120" t="s">
        <v>152</v>
      </c>
      <c r="B14" s="121" t="n">
        <v>90</v>
      </c>
      <c r="C14" s="120" t="s">
        <v>235</v>
      </c>
      <c r="D14" s="120" t="s">
        <v>286</v>
      </c>
      <c r="E14" s="120" t="s">
        <v>292</v>
      </c>
      <c r="F14" s="120" t="s">
        <v>295</v>
      </c>
      <c r="G14" s="122" t="s">
        <v>339</v>
      </c>
      <c r="H14" s="122" t="s">
        <v>340</v>
      </c>
      <c r="I14" s="120" t="s">
        <v>341</v>
      </c>
      <c r="J14" s="123"/>
      <c r="K14" s="123"/>
      <c r="L14" s="124"/>
      <c r="M14" s="125"/>
      <c r="N14" s="124"/>
      <c r="O14" s="109"/>
      <c r="P14" s="125"/>
    </row>
    <row r="15" customFormat="false" ht="36" hidden="false" customHeight="true" outlineLevel="0" collapsed="false">
      <c r="A15" s="120" t="s">
        <v>158</v>
      </c>
      <c r="B15" s="121"/>
      <c r="C15" s="120" t="s">
        <v>233</v>
      </c>
      <c r="D15" s="120" t="s">
        <v>327</v>
      </c>
      <c r="E15" s="120" t="s">
        <v>292</v>
      </c>
      <c r="F15" s="120" t="s">
        <v>296</v>
      </c>
      <c r="G15" s="122" t="s">
        <v>342</v>
      </c>
      <c r="H15" s="122" t="s">
        <v>343</v>
      </c>
      <c r="I15" s="120" t="s">
        <v>344</v>
      </c>
      <c r="J15" s="123"/>
      <c r="K15" s="123"/>
      <c r="L15" s="124"/>
      <c r="M15" s="125"/>
      <c r="N15" s="124"/>
      <c r="O15" s="109"/>
      <c r="P15" s="125"/>
    </row>
    <row r="16" customFormat="false" ht="36" hidden="false" customHeight="true" outlineLevel="0" collapsed="false">
      <c r="A16" s="120" t="s">
        <v>163</v>
      </c>
      <c r="B16" s="121" t="n">
        <v>83</v>
      </c>
      <c r="C16" s="120" t="s">
        <v>225</v>
      </c>
      <c r="D16" s="120" t="s">
        <v>345</v>
      </c>
      <c r="E16" s="120" t="s">
        <v>289</v>
      </c>
      <c r="F16" s="120" t="s">
        <v>295</v>
      </c>
      <c r="G16" s="122" t="s">
        <v>166</v>
      </c>
      <c r="H16" s="122" t="s">
        <v>346</v>
      </c>
      <c r="I16" s="120" t="s">
        <v>347</v>
      </c>
      <c r="J16" s="123"/>
      <c r="K16" s="123"/>
      <c r="L16" s="124"/>
      <c r="M16" s="125"/>
      <c r="N16" s="124"/>
      <c r="O16" s="109"/>
      <c r="P16" s="125"/>
    </row>
    <row r="17" customFormat="false" ht="36" hidden="false" customHeight="true" outlineLevel="0" collapsed="false">
      <c r="A17" s="120"/>
      <c r="B17" s="121"/>
      <c r="C17" s="120"/>
      <c r="D17" s="120"/>
      <c r="E17" s="120"/>
      <c r="F17" s="120"/>
      <c r="G17" s="122"/>
      <c r="H17" s="122"/>
      <c r="I17" s="120"/>
      <c r="J17" s="123"/>
      <c r="K17" s="123"/>
      <c r="L17" s="124"/>
      <c r="M17" s="125"/>
      <c r="N17" s="124"/>
      <c r="O17" s="109"/>
      <c r="P17" s="125"/>
    </row>
    <row r="18" customFormat="false" ht="36" hidden="false" customHeight="true" outlineLevel="0" collapsed="false">
      <c r="A18" s="120"/>
      <c r="B18" s="121"/>
      <c r="C18" s="120"/>
      <c r="D18" s="120"/>
      <c r="E18" s="120"/>
      <c r="F18" s="120"/>
      <c r="G18" s="122"/>
      <c r="H18" s="122"/>
      <c r="I18" s="120"/>
      <c r="J18" s="123"/>
      <c r="K18" s="123"/>
      <c r="L18" s="124"/>
      <c r="M18" s="125"/>
      <c r="N18" s="124"/>
      <c r="O18" s="109"/>
      <c r="P18" s="125"/>
    </row>
    <row r="19" customFormat="false" ht="36" hidden="false" customHeight="true" outlineLevel="0" collapsed="false">
      <c r="A19" s="120"/>
      <c r="B19" s="121"/>
      <c r="C19" s="120"/>
      <c r="D19" s="120"/>
      <c r="E19" s="120"/>
      <c r="F19" s="120"/>
      <c r="G19" s="122"/>
      <c r="H19" s="122"/>
      <c r="I19" s="120"/>
      <c r="J19" s="123"/>
      <c r="K19" s="123"/>
      <c r="L19" s="124"/>
      <c r="M19" s="125"/>
      <c r="N19" s="124"/>
      <c r="O19" s="109"/>
      <c r="P19" s="125"/>
    </row>
    <row r="20" customFormat="false" ht="36" hidden="false" customHeight="true" outlineLevel="0" collapsed="false">
      <c r="A20" s="120"/>
      <c r="B20" s="121"/>
      <c r="C20" s="120"/>
      <c r="D20" s="120"/>
      <c r="E20" s="120"/>
      <c r="F20" s="120"/>
      <c r="G20" s="122"/>
      <c r="H20" s="122"/>
      <c r="I20" s="120"/>
      <c r="J20" s="123"/>
      <c r="K20" s="123"/>
      <c r="L20" s="124"/>
      <c r="M20" s="125"/>
      <c r="N20" s="124"/>
      <c r="O20" s="109"/>
      <c r="P20" s="125"/>
    </row>
    <row r="21" customFormat="false" ht="36" hidden="false" customHeight="true" outlineLevel="0" collapsed="false">
      <c r="A21" s="120"/>
      <c r="B21" s="121"/>
      <c r="C21" s="120"/>
      <c r="D21" s="120"/>
      <c r="E21" s="120"/>
      <c r="F21" s="120"/>
      <c r="G21" s="122"/>
      <c r="H21" s="122"/>
      <c r="I21" s="120"/>
      <c r="J21" s="123"/>
      <c r="K21" s="123"/>
      <c r="L21" s="124"/>
      <c r="M21" s="125"/>
      <c r="N21" s="124"/>
      <c r="O21" s="109"/>
      <c r="P21" s="125"/>
    </row>
    <row r="22" customFormat="false" ht="36" hidden="false" customHeight="true" outlineLevel="0" collapsed="false">
      <c r="A22" s="120"/>
      <c r="B22" s="121"/>
      <c r="C22" s="120"/>
      <c r="D22" s="120"/>
      <c r="E22" s="120"/>
      <c r="F22" s="120"/>
      <c r="G22" s="122"/>
      <c r="H22" s="122"/>
      <c r="I22" s="120"/>
      <c r="J22" s="123"/>
      <c r="K22" s="123"/>
      <c r="L22" s="124"/>
      <c r="M22" s="125"/>
      <c r="N22" s="124"/>
      <c r="O22" s="109"/>
      <c r="P22" s="125"/>
    </row>
    <row r="23" customFormat="false" ht="36" hidden="false" customHeight="true" outlineLevel="0" collapsed="false">
      <c r="A23" s="120"/>
      <c r="B23" s="121"/>
      <c r="C23" s="120"/>
      <c r="D23" s="120"/>
      <c r="E23" s="120"/>
      <c r="F23" s="120"/>
      <c r="G23" s="122"/>
      <c r="H23" s="122"/>
      <c r="I23" s="120"/>
      <c r="J23" s="123"/>
      <c r="K23" s="123"/>
      <c r="L23" s="124"/>
      <c r="M23" s="125"/>
      <c r="N23" s="124"/>
      <c r="O23" s="109"/>
      <c r="P23" s="125"/>
    </row>
    <row r="24" customFormat="false" ht="36" hidden="false" customHeight="true" outlineLevel="0" collapsed="false">
      <c r="A24" s="120"/>
      <c r="B24" s="121"/>
      <c r="C24" s="120"/>
      <c r="D24" s="120"/>
      <c r="E24" s="120"/>
      <c r="F24" s="120"/>
      <c r="G24" s="122"/>
      <c r="H24" s="122"/>
      <c r="I24" s="120"/>
      <c r="J24" s="123"/>
      <c r="K24" s="123"/>
      <c r="L24" s="124"/>
      <c r="M24" s="125"/>
      <c r="N24" s="124"/>
      <c r="O24" s="109"/>
      <c r="P24" s="125"/>
    </row>
    <row r="25" customFormat="false" ht="36" hidden="false" customHeight="true" outlineLevel="0" collapsed="false">
      <c r="A25" s="120"/>
      <c r="B25" s="121"/>
      <c r="C25" s="120"/>
      <c r="D25" s="120"/>
      <c r="E25" s="120"/>
      <c r="F25" s="120"/>
      <c r="G25" s="122"/>
      <c r="H25" s="122"/>
      <c r="I25" s="120"/>
      <c r="J25" s="123"/>
      <c r="K25" s="123"/>
      <c r="L25" s="124"/>
      <c r="M25" s="125"/>
      <c r="N25" s="124"/>
      <c r="O25" s="109"/>
      <c r="P25" s="125"/>
    </row>
    <row r="26" customFormat="false" ht="36" hidden="false" customHeight="true" outlineLevel="0" collapsed="false">
      <c r="A26" s="120"/>
      <c r="B26" s="121"/>
      <c r="C26" s="120"/>
      <c r="D26" s="120"/>
      <c r="E26" s="120"/>
      <c r="F26" s="120"/>
      <c r="G26" s="122"/>
      <c r="H26" s="122"/>
      <c r="I26" s="120"/>
      <c r="J26" s="123"/>
      <c r="K26" s="123"/>
      <c r="L26" s="124"/>
      <c r="M26" s="125"/>
      <c r="N26" s="124"/>
      <c r="O26" s="109"/>
      <c r="P26" s="125"/>
    </row>
    <row r="27" customFormat="false" ht="36" hidden="false" customHeight="true" outlineLevel="0" collapsed="false">
      <c r="A27" s="120"/>
      <c r="B27" s="121"/>
      <c r="C27" s="120"/>
      <c r="D27" s="120"/>
      <c r="E27" s="120"/>
      <c r="F27" s="120"/>
      <c r="G27" s="122"/>
      <c r="H27" s="122"/>
      <c r="I27" s="120"/>
      <c r="J27" s="123"/>
      <c r="K27" s="123"/>
      <c r="L27" s="124"/>
      <c r="M27" s="125"/>
      <c r="N27" s="124"/>
      <c r="O27" s="109"/>
      <c r="P27" s="125"/>
    </row>
    <row r="28" customFormat="false" ht="36" hidden="false" customHeight="true" outlineLevel="0" collapsed="false">
      <c r="A28" s="120"/>
      <c r="B28" s="121"/>
      <c r="C28" s="120"/>
      <c r="D28" s="120"/>
      <c r="E28" s="120"/>
      <c r="F28" s="120"/>
      <c r="G28" s="122"/>
      <c r="H28" s="122"/>
      <c r="I28" s="120"/>
      <c r="J28" s="123"/>
      <c r="K28" s="123"/>
      <c r="L28" s="124"/>
      <c r="M28" s="125"/>
      <c r="N28" s="124"/>
      <c r="O28" s="109"/>
      <c r="P28" s="125"/>
    </row>
    <row r="29" customFormat="false" ht="36" hidden="false" customHeight="true" outlineLevel="0" collapsed="false">
      <c r="A29" s="120"/>
      <c r="B29" s="121"/>
      <c r="C29" s="120"/>
      <c r="D29" s="120"/>
      <c r="E29" s="120"/>
      <c r="F29" s="120"/>
      <c r="G29" s="122"/>
      <c r="H29" s="122"/>
      <c r="I29" s="120"/>
      <c r="J29" s="123"/>
      <c r="K29" s="123"/>
      <c r="L29" s="124"/>
      <c r="M29" s="125"/>
      <c r="N29" s="124"/>
      <c r="O29" s="109"/>
      <c r="P29" s="125"/>
    </row>
    <row r="30" customFormat="false" ht="36" hidden="false" customHeight="true" outlineLevel="0" collapsed="false">
      <c r="A30" s="120"/>
      <c r="B30" s="121"/>
      <c r="C30" s="120"/>
      <c r="D30" s="120"/>
      <c r="E30" s="120"/>
      <c r="F30" s="120"/>
      <c r="G30" s="122"/>
      <c r="H30" s="122"/>
      <c r="I30" s="120"/>
      <c r="J30" s="123"/>
      <c r="K30" s="123"/>
      <c r="L30" s="124"/>
      <c r="M30" s="125"/>
      <c r="N30" s="124"/>
      <c r="O30" s="109"/>
      <c r="P30" s="125"/>
    </row>
    <row r="31" customFormat="false" ht="36" hidden="false" customHeight="true" outlineLevel="0" collapsed="false">
      <c r="A31" s="120"/>
      <c r="B31" s="121"/>
      <c r="C31" s="120"/>
      <c r="D31" s="120"/>
      <c r="E31" s="120"/>
      <c r="F31" s="120"/>
      <c r="G31" s="122"/>
      <c r="H31" s="122"/>
      <c r="I31" s="120"/>
      <c r="J31" s="123"/>
      <c r="K31" s="123"/>
      <c r="L31" s="124"/>
      <c r="M31" s="125"/>
      <c r="N31" s="124"/>
      <c r="O31" s="109"/>
      <c r="P31" s="125"/>
    </row>
    <row r="32" customFormat="false" ht="36" hidden="false" customHeight="true" outlineLevel="0" collapsed="false">
      <c r="A32" s="120"/>
      <c r="B32" s="121"/>
      <c r="C32" s="120"/>
      <c r="D32" s="120"/>
      <c r="E32" s="120"/>
      <c r="F32" s="120"/>
      <c r="G32" s="122"/>
      <c r="H32" s="122"/>
      <c r="I32" s="120"/>
      <c r="J32" s="123"/>
      <c r="K32" s="123"/>
      <c r="L32" s="124"/>
      <c r="M32" s="125"/>
      <c r="N32" s="124"/>
      <c r="O32" s="109"/>
      <c r="P32" s="125"/>
    </row>
    <row r="33" customFormat="false" ht="36" hidden="false" customHeight="true" outlineLevel="0" collapsed="false">
      <c r="A33" s="120"/>
      <c r="B33" s="121"/>
      <c r="C33" s="120"/>
      <c r="D33" s="120"/>
      <c r="E33" s="120"/>
      <c r="F33" s="120"/>
      <c r="G33" s="122"/>
      <c r="H33" s="122"/>
      <c r="I33" s="120"/>
      <c r="J33" s="123"/>
      <c r="K33" s="123"/>
      <c r="L33" s="124"/>
      <c r="M33" s="125"/>
      <c r="N33" s="124"/>
      <c r="O33" s="109"/>
      <c r="P33" s="125"/>
    </row>
    <row r="34" customFormat="false" ht="36" hidden="false" customHeight="true" outlineLevel="0" collapsed="false">
      <c r="A34" s="120"/>
      <c r="B34" s="121"/>
      <c r="C34" s="120"/>
      <c r="D34" s="120"/>
      <c r="E34" s="120"/>
      <c r="F34" s="120"/>
      <c r="G34" s="122"/>
      <c r="H34" s="122"/>
      <c r="I34" s="120"/>
      <c r="J34" s="123"/>
      <c r="K34" s="123"/>
      <c r="L34" s="124"/>
      <c r="M34" s="125"/>
      <c r="N34" s="124"/>
      <c r="O34" s="109"/>
      <c r="P34" s="125"/>
    </row>
    <row r="35" customFormat="false" ht="36" hidden="false" customHeight="true" outlineLevel="0" collapsed="false">
      <c r="A35" s="120"/>
      <c r="B35" s="121"/>
      <c r="C35" s="120"/>
      <c r="D35" s="120"/>
      <c r="E35" s="120"/>
      <c r="F35" s="120"/>
      <c r="G35" s="122"/>
      <c r="H35" s="122"/>
      <c r="I35" s="120"/>
      <c r="J35" s="123"/>
      <c r="K35" s="123"/>
      <c r="L35" s="124"/>
      <c r="M35" s="125"/>
      <c r="N35" s="124"/>
      <c r="O35" s="109"/>
      <c r="P35" s="125"/>
    </row>
    <row r="36" customFormat="false" ht="36" hidden="false" customHeight="true" outlineLevel="0" collapsed="false">
      <c r="A36" s="120"/>
      <c r="B36" s="121"/>
      <c r="C36" s="120"/>
      <c r="D36" s="120"/>
      <c r="E36" s="120"/>
      <c r="F36" s="120"/>
      <c r="G36" s="122"/>
      <c r="H36" s="122"/>
      <c r="I36" s="120"/>
      <c r="J36" s="123"/>
      <c r="K36" s="123"/>
      <c r="L36" s="124"/>
      <c r="M36" s="125"/>
      <c r="N36" s="124"/>
      <c r="O36" s="109"/>
      <c r="P36" s="125"/>
    </row>
    <row r="37" customFormat="false" ht="36" hidden="false" customHeight="true" outlineLevel="0" collapsed="false">
      <c r="A37" s="120"/>
      <c r="B37" s="121"/>
      <c r="C37" s="120"/>
      <c r="D37" s="120"/>
      <c r="E37" s="120"/>
      <c r="F37" s="120"/>
      <c r="G37" s="122"/>
      <c r="H37" s="122"/>
      <c r="I37" s="120"/>
      <c r="J37" s="123"/>
      <c r="K37" s="123"/>
      <c r="L37" s="124"/>
      <c r="M37" s="125"/>
      <c r="N37" s="124"/>
      <c r="O37" s="109"/>
      <c r="P37" s="125"/>
    </row>
    <row r="38" customFormat="false" ht="36" hidden="false" customHeight="true" outlineLevel="0" collapsed="false">
      <c r="A38" s="120"/>
      <c r="B38" s="121"/>
      <c r="C38" s="120"/>
      <c r="D38" s="120"/>
      <c r="E38" s="120"/>
      <c r="F38" s="120"/>
      <c r="G38" s="122"/>
      <c r="H38" s="122"/>
      <c r="I38" s="120"/>
      <c r="J38" s="123"/>
      <c r="K38" s="123"/>
      <c r="L38" s="124"/>
      <c r="M38" s="125"/>
      <c r="N38" s="124"/>
      <c r="O38" s="109"/>
      <c r="P38" s="125"/>
    </row>
    <row r="39" customFormat="false" ht="36" hidden="false" customHeight="true" outlineLevel="0" collapsed="false">
      <c r="A39" s="120"/>
      <c r="B39" s="121"/>
      <c r="C39" s="120"/>
      <c r="D39" s="120"/>
      <c r="E39" s="120"/>
      <c r="F39" s="120"/>
      <c r="G39" s="122"/>
      <c r="H39" s="122"/>
      <c r="I39" s="120"/>
      <c r="J39" s="123"/>
      <c r="K39" s="123"/>
      <c r="L39" s="124"/>
      <c r="M39" s="125"/>
      <c r="N39" s="124"/>
      <c r="O39" s="109"/>
      <c r="P39" s="125"/>
    </row>
    <row r="40" customFormat="false" ht="36" hidden="false" customHeight="true" outlineLevel="0" collapsed="false">
      <c r="A40" s="120"/>
      <c r="B40" s="121"/>
      <c r="C40" s="120"/>
      <c r="D40" s="120"/>
      <c r="E40" s="120"/>
      <c r="F40" s="120"/>
      <c r="G40" s="122"/>
      <c r="H40" s="122"/>
      <c r="I40" s="120"/>
      <c r="J40" s="123"/>
      <c r="K40" s="123"/>
      <c r="L40" s="124"/>
      <c r="M40" s="125"/>
      <c r="N40" s="124"/>
      <c r="O40" s="109"/>
      <c r="P40" s="125"/>
    </row>
    <row r="41" customFormat="false" ht="36" hidden="false" customHeight="true" outlineLevel="0" collapsed="false">
      <c r="A41" s="120"/>
      <c r="B41" s="121"/>
      <c r="C41" s="120"/>
      <c r="D41" s="120"/>
      <c r="E41" s="120"/>
      <c r="F41" s="120"/>
      <c r="G41" s="122"/>
      <c r="H41" s="122"/>
      <c r="I41" s="120"/>
      <c r="J41" s="123"/>
      <c r="K41" s="123"/>
      <c r="L41" s="124"/>
      <c r="M41" s="125"/>
      <c r="N41" s="124"/>
      <c r="O41" s="109"/>
      <c r="P41" s="125"/>
    </row>
    <row r="42" customFormat="false" ht="36" hidden="false" customHeight="true" outlineLevel="0" collapsed="false">
      <c r="A42" s="120"/>
      <c r="B42" s="121"/>
      <c r="C42" s="120"/>
      <c r="D42" s="120"/>
      <c r="E42" s="120"/>
      <c r="F42" s="120"/>
      <c r="G42" s="122"/>
      <c r="H42" s="122"/>
      <c r="I42" s="120"/>
      <c r="J42" s="123"/>
      <c r="K42" s="123"/>
      <c r="L42" s="124"/>
      <c r="M42" s="125"/>
      <c r="N42" s="124"/>
      <c r="O42" s="109"/>
      <c r="P42" s="125"/>
    </row>
    <row r="43" customFormat="false" ht="36" hidden="false" customHeight="true" outlineLevel="0" collapsed="false">
      <c r="A43" s="120"/>
      <c r="B43" s="121"/>
      <c r="C43" s="120"/>
      <c r="D43" s="120"/>
      <c r="E43" s="120"/>
      <c r="F43" s="120"/>
      <c r="G43" s="122"/>
      <c r="H43" s="122"/>
      <c r="I43" s="120"/>
      <c r="J43" s="123"/>
      <c r="K43" s="123"/>
      <c r="L43" s="124"/>
      <c r="M43" s="125"/>
      <c r="N43" s="124"/>
      <c r="O43" s="109"/>
      <c r="P43" s="125"/>
    </row>
    <row r="44" customFormat="false" ht="36" hidden="false" customHeight="true" outlineLevel="0" collapsed="false">
      <c r="A44" s="120"/>
      <c r="B44" s="121"/>
      <c r="C44" s="120"/>
      <c r="D44" s="120"/>
      <c r="E44" s="120"/>
      <c r="F44" s="120"/>
      <c r="G44" s="122"/>
      <c r="H44" s="122"/>
      <c r="I44" s="120"/>
      <c r="J44" s="123"/>
      <c r="K44" s="123"/>
      <c r="L44" s="124"/>
      <c r="M44" s="125"/>
      <c r="N44" s="124"/>
      <c r="O44" s="109"/>
      <c r="P44" s="125"/>
    </row>
    <row r="45" customFormat="false" ht="36" hidden="false" customHeight="true" outlineLevel="0" collapsed="false">
      <c r="A45" s="120"/>
      <c r="B45" s="121"/>
      <c r="C45" s="120"/>
      <c r="D45" s="120"/>
      <c r="E45" s="120"/>
      <c r="F45" s="120"/>
      <c r="G45" s="122"/>
      <c r="H45" s="122"/>
      <c r="I45" s="120"/>
      <c r="J45" s="123"/>
      <c r="K45" s="123"/>
      <c r="L45" s="124"/>
      <c r="M45" s="125"/>
      <c r="N45" s="124"/>
      <c r="O45" s="109"/>
      <c r="P45" s="125"/>
    </row>
    <row r="46" customFormat="false" ht="36" hidden="false" customHeight="true" outlineLevel="0" collapsed="false">
      <c r="A46" s="120"/>
      <c r="B46" s="121"/>
      <c r="C46" s="120"/>
      <c r="D46" s="120"/>
      <c r="E46" s="120"/>
      <c r="F46" s="120"/>
      <c r="G46" s="122"/>
      <c r="H46" s="122"/>
      <c r="I46" s="120"/>
      <c r="J46" s="123"/>
      <c r="K46" s="123"/>
      <c r="L46" s="124"/>
      <c r="M46" s="125"/>
      <c r="N46" s="124"/>
      <c r="O46" s="109"/>
      <c r="P46" s="125"/>
    </row>
    <row r="47" customFormat="false" ht="36" hidden="false" customHeight="true" outlineLevel="0" collapsed="false">
      <c r="A47" s="120"/>
      <c r="B47" s="121"/>
      <c r="C47" s="120"/>
      <c r="D47" s="120"/>
      <c r="E47" s="120"/>
      <c r="F47" s="120"/>
      <c r="G47" s="122"/>
      <c r="H47" s="122"/>
      <c r="I47" s="120"/>
      <c r="J47" s="123"/>
      <c r="K47" s="123"/>
      <c r="L47" s="124"/>
      <c r="M47" s="125"/>
      <c r="N47" s="124"/>
      <c r="O47" s="109"/>
      <c r="P47" s="125"/>
    </row>
    <row r="48" customFormat="false" ht="36" hidden="false" customHeight="true" outlineLevel="0" collapsed="false">
      <c r="A48" s="120"/>
      <c r="B48" s="121"/>
      <c r="C48" s="120"/>
      <c r="D48" s="120"/>
      <c r="E48" s="120"/>
      <c r="F48" s="120"/>
      <c r="G48" s="122"/>
      <c r="H48" s="122"/>
      <c r="I48" s="120"/>
      <c r="J48" s="123"/>
      <c r="K48" s="123"/>
      <c r="L48" s="124"/>
      <c r="M48" s="125"/>
      <c r="N48" s="124"/>
      <c r="O48" s="109"/>
      <c r="P48" s="125"/>
    </row>
    <row r="49" customFormat="false" ht="36" hidden="false" customHeight="true" outlineLevel="0" collapsed="false">
      <c r="A49" s="120"/>
      <c r="B49" s="121"/>
      <c r="C49" s="120"/>
      <c r="D49" s="120"/>
      <c r="E49" s="120"/>
      <c r="F49" s="120"/>
      <c r="G49" s="122"/>
      <c r="H49" s="122"/>
      <c r="I49" s="120"/>
      <c r="J49" s="123"/>
      <c r="K49" s="123"/>
      <c r="L49" s="124"/>
      <c r="M49" s="125"/>
      <c r="N49" s="124"/>
      <c r="O49" s="109"/>
      <c r="P49" s="125"/>
    </row>
    <row r="50" customFormat="false" ht="36" hidden="false" customHeight="true" outlineLevel="0" collapsed="false">
      <c r="A50" s="120"/>
      <c r="B50" s="121"/>
      <c r="C50" s="120"/>
      <c r="D50" s="120"/>
      <c r="E50" s="120"/>
      <c r="F50" s="120"/>
      <c r="G50" s="122"/>
      <c r="H50" s="122"/>
      <c r="I50" s="120"/>
      <c r="J50" s="123"/>
      <c r="K50" s="123"/>
      <c r="L50" s="124"/>
      <c r="M50" s="125"/>
      <c r="N50" s="124"/>
      <c r="O50" s="109"/>
      <c r="P50" s="125"/>
    </row>
    <row r="51" customFormat="false" ht="36" hidden="false" customHeight="true" outlineLevel="0" collapsed="false">
      <c r="A51" s="120"/>
      <c r="B51" s="121"/>
      <c r="C51" s="120"/>
      <c r="D51" s="120"/>
      <c r="E51" s="120"/>
      <c r="F51" s="120"/>
      <c r="G51" s="122"/>
      <c r="H51" s="122"/>
      <c r="I51" s="120"/>
      <c r="J51" s="123"/>
      <c r="K51" s="123"/>
      <c r="L51" s="124"/>
      <c r="M51" s="125"/>
      <c r="N51" s="124"/>
      <c r="O51" s="109"/>
      <c r="P51" s="125"/>
    </row>
    <row r="52" customFormat="false" ht="36" hidden="false" customHeight="true" outlineLevel="0" collapsed="false">
      <c r="A52" s="120"/>
      <c r="B52" s="121"/>
      <c r="C52" s="120"/>
      <c r="D52" s="120"/>
      <c r="E52" s="120"/>
      <c r="F52" s="120"/>
      <c r="G52" s="122"/>
      <c r="H52" s="122"/>
      <c r="I52" s="120"/>
      <c r="J52" s="123"/>
      <c r="K52" s="123"/>
      <c r="L52" s="124"/>
      <c r="M52" s="125"/>
      <c r="N52" s="124"/>
      <c r="O52" s="109"/>
      <c r="P52" s="125"/>
    </row>
    <row r="53" customFormat="false" ht="36" hidden="false" customHeight="true" outlineLevel="0" collapsed="false">
      <c r="A53" s="120"/>
      <c r="B53" s="121"/>
      <c r="C53" s="120"/>
      <c r="D53" s="120"/>
      <c r="E53" s="120"/>
      <c r="F53" s="120"/>
      <c r="G53" s="122"/>
      <c r="H53" s="122"/>
      <c r="I53" s="120"/>
      <c r="J53" s="123"/>
      <c r="K53" s="123"/>
      <c r="L53" s="124"/>
      <c r="M53" s="125"/>
      <c r="N53" s="124"/>
      <c r="O53" s="109"/>
      <c r="P53" s="125"/>
    </row>
    <row r="54" customFormat="false" ht="36" hidden="false" customHeight="true" outlineLevel="0" collapsed="false">
      <c r="A54" s="120"/>
      <c r="B54" s="121"/>
      <c r="C54" s="120"/>
      <c r="D54" s="120"/>
      <c r="E54" s="120"/>
      <c r="F54" s="120"/>
      <c r="G54" s="122"/>
      <c r="H54" s="122"/>
      <c r="I54" s="120"/>
      <c r="J54" s="123"/>
      <c r="K54" s="123"/>
      <c r="L54" s="124"/>
      <c r="M54" s="125"/>
      <c r="N54" s="124"/>
      <c r="O54" s="109"/>
      <c r="P54" s="125"/>
    </row>
    <row r="55" customFormat="false" ht="36" hidden="false" customHeight="true" outlineLevel="0" collapsed="false">
      <c r="A55" s="120"/>
      <c r="B55" s="121"/>
      <c r="C55" s="120"/>
      <c r="D55" s="120"/>
      <c r="E55" s="120"/>
      <c r="F55" s="120"/>
      <c r="G55" s="122"/>
      <c r="H55" s="122"/>
      <c r="I55" s="120"/>
      <c r="J55" s="123"/>
      <c r="K55" s="123"/>
      <c r="L55" s="124"/>
      <c r="M55" s="125"/>
      <c r="N55" s="124"/>
      <c r="O55" s="109"/>
      <c r="P55" s="125"/>
    </row>
    <row r="56" customFormat="false" ht="36" hidden="false" customHeight="true" outlineLevel="0" collapsed="false">
      <c r="A56" s="120"/>
      <c r="B56" s="121"/>
      <c r="C56" s="120"/>
      <c r="D56" s="120"/>
      <c r="E56" s="120"/>
      <c r="F56" s="120"/>
      <c r="G56" s="122"/>
      <c r="H56" s="122"/>
      <c r="I56" s="120"/>
      <c r="J56" s="123"/>
      <c r="K56" s="123"/>
      <c r="L56" s="124"/>
      <c r="M56" s="125"/>
      <c r="N56" s="124"/>
      <c r="O56" s="109"/>
      <c r="P56" s="125"/>
    </row>
    <row r="57" customFormat="false" ht="36" hidden="false" customHeight="true" outlineLevel="0" collapsed="false">
      <c r="A57" s="120"/>
      <c r="B57" s="121"/>
      <c r="C57" s="120"/>
      <c r="D57" s="120"/>
      <c r="E57" s="120"/>
      <c r="F57" s="120"/>
      <c r="G57" s="122"/>
      <c r="H57" s="122"/>
      <c r="I57" s="120"/>
      <c r="J57" s="123"/>
      <c r="K57" s="123"/>
      <c r="L57" s="124"/>
      <c r="M57" s="125"/>
      <c r="N57" s="124"/>
      <c r="O57" s="109"/>
      <c r="P57" s="125"/>
    </row>
    <row r="58" customFormat="false" ht="36" hidden="false" customHeight="true" outlineLevel="0" collapsed="false">
      <c r="A58" s="120"/>
      <c r="B58" s="121"/>
      <c r="C58" s="120"/>
      <c r="D58" s="120"/>
      <c r="E58" s="120"/>
      <c r="F58" s="120"/>
      <c r="G58" s="122"/>
      <c r="H58" s="122"/>
      <c r="I58" s="120"/>
      <c r="J58" s="123"/>
      <c r="K58" s="123"/>
      <c r="L58" s="124"/>
      <c r="M58" s="125"/>
      <c r="N58" s="124"/>
      <c r="O58" s="109"/>
      <c r="P58" s="125"/>
    </row>
    <row r="59" customFormat="false" ht="36" hidden="false" customHeight="true" outlineLevel="0" collapsed="false">
      <c r="A59" s="120"/>
      <c r="B59" s="121"/>
      <c r="C59" s="120"/>
      <c r="D59" s="120"/>
      <c r="E59" s="120"/>
      <c r="F59" s="120"/>
      <c r="G59" s="122"/>
      <c r="H59" s="122"/>
      <c r="I59" s="120"/>
      <c r="J59" s="123"/>
      <c r="K59" s="123"/>
      <c r="L59" s="124"/>
      <c r="M59" s="125"/>
      <c r="N59" s="124"/>
      <c r="O59" s="109"/>
      <c r="P59" s="125"/>
    </row>
    <row r="60" customFormat="false" ht="36" hidden="false" customHeight="true" outlineLevel="0" collapsed="false">
      <c r="A60" s="120"/>
      <c r="B60" s="121"/>
      <c r="C60" s="120"/>
      <c r="D60" s="120"/>
      <c r="E60" s="120"/>
      <c r="F60" s="120"/>
      <c r="G60" s="122"/>
      <c r="H60" s="122"/>
      <c r="I60" s="120"/>
      <c r="J60" s="123"/>
      <c r="K60" s="123"/>
      <c r="L60" s="124"/>
      <c r="M60" s="125"/>
      <c r="N60" s="124"/>
      <c r="O60" s="109"/>
      <c r="P60" s="125"/>
    </row>
    <row r="61" customFormat="false" ht="36" hidden="false" customHeight="true" outlineLevel="0" collapsed="false">
      <c r="A61" s="120"/>
      <c r="B61" s="121"/>
      <c r="C61" s="120"/>
      <c r="D61" s="120"/>
      <c r="E61" s="120"/>
      <c r="F61" s="120"/>
      <c r="G61" s="122"/>
      <c r="H61" s="122"/>
      <c r="I61" s="120"/>
      <c r="J61" s="123"/>
      <c r="K61" s="123"/>
      <c r="L61" s="124"/>
      <c r="M61" s="125"/>
      <c r="N61" s="124"/>
      <c r="O61" s="109"/>
      <c r="P61" s="125"/>
    </row>
    <row r="62" customFormat="false" ht="36" hidden="false" customHeight="true" outlineLevel="0" collapsed="false">
      <c r="A62" s="120"/>
      <c r="B62" s="121"/>
      <c r="C62" s="120"/>
      <c r="D62" s="120"/>
      <c r="E62" s="120"/>
      <c r="F62" s="120"/>
      <c r="G62" s="122"/>
      <c r="H62" s="122"/>
      <c r="I62" s="120"/>
      <c r="J62" s="123"/>
      <c r="K62" s="123"/>
      <c r="L62" s="124"/>
      <c r="M62" s="125"/>
      <c r="N62" s="124"/>
      <c r="O62" s="109"/>
      <c r="P62" s="125"/>
    </row>
    <row r="63" customFormat="false" ht="36" hidden="false" customHeight="true" outlineLevel="0" collapsed="false">
      <c r="A63" s="120"/>
      <c r="B63" s="121"/>
      <c r="C63" s="120"/>
      <c r="D63" s="120"/>
      <c r="E63" s="120"/>
      <c r="F63" s="120"/>
      <c r="G63" s="122"/>
      <c r="H63" s="122"/>
      <c r="I63" s="120"/>
      <c r="J63" s="123"/>
      <c r="K63" s="123"/>
      <c r="L63" s="124"/>
      <c r="M63" s="125"/>
      <c r="N63" s="124"/>
      <c r="O63" s="109"/>
      <c r="P63" s="125"/>
    </row>
    <row r="64" customFormat="false" ht="36" hidden="false" customHeight="true" outlineLevel="0" collapsed="false">
      <c r="A64" s="120"/>
      <c r="B64" s="121"/>
      <c r="C64" s="120"/>
      <c r="D64" s="120"/>
      <c r="E64" s="120"/>
      <c r="F64" s="120"/>
      <c r="G64" s="122"/>
      <c r="H64" s="122"/>
      <c r="I64" s="120"/>
      <c r="J64" s="123"/>
      <c r="K64" s="123"/>
      <c r="L64" s="124"/>
      <c r="M64" s="125"/>
      <c r="N64" s="124"/>
      <c r="O64" s="109"/>
      <c r="P64" s="125"/>
    </row>
    <row r="65" customFormat="false" ht="36" hidden="false" customHeight="true" outlineLevel="0" collapsed="false">
      <c r="A65" s="120"/>
      <c r="B65" s="121"/>
      <c r="C65" s="120"/>
      <c r="D65" s="120"/>
      <c r="E65" s="120"/>
      <c r="F65" s="120"/>
      <c r="G65" s="122"/>
      <c r="H65" s="122"/>
      <c r="I65" s="120"/>
      <c r="J65" s="123"/>
      <c r="K65" s="123"/>
      <c r="L65" s="124"/>
      <c r="M65" s="125"/>
      <c r="N65" s="124"/>
      <c r="O65" s="109"/>
      <c r="P65" s="125"/>
    </row>
    <row r="66" customFormat="false" ht="36" hidden="false" customHeight="true" outlineLevel="0" collapsed="false">
      <c r="A66" s="120"/>
      <c r="B66" s="121"/>
      <c r="C66" s="120"/>
      <c r="D66" s="120"/>
      <c r="E66" s="120"/>
      <c r="F66" s="120"/>
      <c r="G66" s="122"/>
      <c r="H66" s="122"/>
      <c r="I66" s="120"/>
      <c r="J66" s="123"/>
      <c r="K66" s="123"/>
      <c r="L66" s="124"/>
      <c r="M66" s="125"/>
      <c r="N66" s="124"/>
      <c r="O66" s="109"/>
      <c r="P66" s="125"/>
    </row>
    <row r="67" customFormat="false" ht="36" hidden="false" customHeight="true" outlineLevel="0" collapsed="false">
      <c r="A67" s="120"/>
      <c r="B67" s="121"/>
      <c r="C67" s="120"/>
      <c r="D67" s="120"/>
      <c r="E67" s="120"/>
      <c r="F67" s="120"/>
      <c r="G67" s="122"/>
      <c r="H67" s="122"/>
      <c r="I67" s="120"/>
      <c r="J67" s="123"/>
      <c r="K67" s="123"/>
      <c r="L67" s="124"/>
      <c r="M67" s="125"/>
      <c r="N67" s="124"/>
      <c r="O67" s="109"/>
      <c r="P67" s="125"/>
    </row>
    <row r="68" customFormat="false" ht="36" hidden="false" customHeight="true" outlineLevel="0" collapsed="false">
      <c r="A68" s="120"/>
      <c r="B68" s="121"/>
      <c r="C68" s="120"/>
      <c r="D68" s="120"/>
      <c r="E68" s="120"/>
      <c r="F68" s="120"/>
      <c r="G68" s="122"/>
      <c r="H68" s="122"/>
      <c r="I68" s="120"/>
      <c r="J68" s="123"/>
      <c r="K68" s="123"/>
      <c r="L68" s="124"/>
      <c r="M68" s="125"/>
      <c r="N68" s="124"/>
      <c r="O68" s="109"/>
      <c r="P68" s="125"/>
    </row>
    <row r="69" customFormat="false" ht="36" hidden="false" customHeight="true" outlineLevel="0" collapsed="false">
      <c r="A69" s="120"/>
      <c r="B69" s="121"/>
      <c r="C69" s="120"/>
      <c r="D69" s="120"/>
      <c r="E69" s="120"/>
      <c r="F69" s="120"/>
      <c r="G69" s="122"/>
      <c r="H69" s="122"/>
      <c r="I69" s="120"/>
      <c r="J69" s="123"/>
      <c r="K69" s="123"/>
      <c r="L69" s="124"/>
      <c r="M69" s="125"/>
      <c r="N69" s="124"/>
      <c r="O69" s="109"/>
      <c r="P69" s="125"/>
    </row>
    <row r="70" customFormat="false" ht="36" hidden="false" customHeight="true" outlineLevel="0" collapsed="false">
      <c r="A70" s="120"/>
      <c r="B70" s="121"/>
      <c r="C70" s="120"/>
      <c r="D70" s="120"/>
      <c r="E70" s="120"/>
      <c r="F70" s="120"/>
      <c r="G70" s="122"/>
      <c r="H70" s="122"/>
      <c r="I70" s="120"/>
      <c r="J70" s="123"/>
      <c r="K70" s="123"/>
      <c r="L70" s="124"/>
      <c r="M70" s="125"/>
      <c r="N70" s="124"/>
      <c r="O70" s="109"/>
      <c r="P70" s="125"/>
    </row>
    <row r="71" customFormat="false" ht="36" hidden="false" customHeight="true" outlineLevel="0" collapsed="false">
      <c r="A71" s="120"/>
      <c r="B71" s="121"/>
      <c r="C71" s="120"/>
      <c r="D71" s="120"/>
      <c r="E71" s="120"/>
      <c r="F71" s="120"/>
      <c r="G71" s="122"/>
      <c r="H71" s="122"/>
      <c r="I71" s="120"/>
      <c r="J71" s="123"/>
      <c r="K71" s="123"/>
      <c r="L71" s="124"/>
      <c r="M71" s="125"/>
      <c r="N71" s="124"/>
      <c r="O71" s="109"/>
      <c r="P71" s="125"/>
    </row>
    <row r="72" customFormat="false" ht="36" hidden="false" customHeight="true" outlineLevel="0" collapsed="false">
      <c r="A72" s="120"/>
      <c r="B72" s="121"/>
      <c r="C72" s="120"/>
      <c r="D72" s="120"/>
      <c r="E72" s="120"/>
      <c r="F72" s="120"/>
      <c r="G72" s="122"/>
      <c r="H72" s="122"/>
      <c r="I72" s="120"/>
      <c r="J72" s="123"/>
      <c r="K72" s="123"/>
      <c r="L72" s="124"/>
      <c r="M72" s="125"/>
      <c r="N72" s="124"/>
      <c r="O72" s="109"/>
      <c r="P72" s="125"/>
    </row>
    <row r="73" customFormat="false" ht="36" hidden="false" customHeight="true" outlineLevel="0" collapsed="false">
      <c r="A73" s="120"/>
      <c r="B73" s="121"/>
      <c r="C73" s="120"/>
      <c r="D73" s="120"/>
      <c r="E73" s="120"/>
      <c r="F73" s="120"/>
      <c r="G73" s="122"/>
      <c r="H73" s="122"/>
      <c r="I73" s="120"/>
      <c r="J73" s="123"/>
      <c r="K73" s="123"/>
      <c r="L73" s="124"/>
      <c r="M73" s="125"/>
      <c r="N73" s="124"/>
      <c r="O73" s="109"/>
      <c r="P73" s="125"/>
    </row>
    <row r="74" customFormat="false" ht="36" hidden="false" customHeight="true" outlineLevel="0" collapsed="false">
      <c r="A74" s="120"/>
      <c r="B74" s="121"/>
      <c r="C74" s="120"/>
      <c r="D74" s="120"/>
      <c r="E74" s="120"/>
      <c r="F74" s="120"/>
      <c r="G74" s="122"/>
      <c r="H74" s="122"/>
      <c r="I74" s="120"/>
      <c r="J74" s="123"/>
      <c r="K74" s="123"/>
      <c r="L74" s="124"/>
      <c r="M74" s="125"/>
      <c r="N74" s="124"/>
      <c r="O74" s="109"/>
      <c r="P74" s="125"/>
    </row>
    <row r="75" customFormat="false" ht="36" hidden="false" customHeight="true" outlineLevel="0" collapsed="false">
      <c r="A75" s="120"/>
      <c r="B75" s="121"/>
      <c r="C75" s="120"/>
      <c r="D75" s="120"/>
      <c r="E75" s="120"/>
      <c r="F75" s="120"/>
      <c r="G75" s="122"/>
      <c r="H75" s="122"/>
      <c r="I75" s="120"/>
      <c r="J75" s="123"/>
      <c r="K75" s="123"/>
      <c r="L75" s="124"/>
      <c r="M75" s="125"/>
      <c r="N75" s="124"/>
      <c r="O75" s="109"/>
      <c r="P75" s="125"/>
    </row>
    <row r="76" customFormat="false" ht="36" hidden="false" customHeight="true" outlineLevel="0" collapsed="false">
      <c r="A76" s="120"/>
      <c r="B76" s="121"/>
      <c r="C76" s="120"/>
      <c r="D76" s="120"/>
      <c r="E76" s="120"/>
      <c r="F76" s="120"/>
      <c r="G76" s="122"/>
      <c r="H76" s="122"/>
      <c r="I76" s="120"/>
      <c r="J76" s="123"/>
      <c r="K76" s="123"/>
      <c r="L76" s="124"/>
      <c r="M76" s="125"/>
      <c r="N76" s="124"/>
      <c r="O76" s="109"/>
      <c r="P76" s="125"/>
    </row>
    <row r="77" customFormat="false" ht="36" hidden="false" customHeight="true" outlineLevel="0" collapsed="false">
      <c r="A77" s="120"/>
      <c r="B77" s="121"/>
      <c r="C77" s="120"/>
      <c r="D77" s="120"/>
      <c r="E77" s="120"/>
      <c r="F77" s="120"/>
      <c r="G77" s="122"/>
      <c r="H77" s="122"/>
      <c r="I77" s="120"/>
      <c r="J77" s="123"/>
      <c r="K77" s="123"/>
      <c r="L77" s="124"/>
      <c r="M77" s="125"/>
      <c r="N77" s="124"/>
      <c r="O77" s="109"/>
      <c r="P77" s="125"/>
    </row>
    <row r="78" customFormat="false" ht="36" hidden="false" customHeight="true" outlineLevel="0" collapsed="false">
      <c r="A78" s="120"/>
      <c r="B78" s="121"/>
      <c r="C78" s="120"/>
      <c r="D78" s="120"/>
      <c r="E78" s="120"/>
      <c r="F78" s="120"/>
      <c r="G78" s="122"/>
      <c r="H78" s="122"/>
      <c r="I78" s="120"/>
      <c r="J78" s="123"/>
      <c r="K78" s="123"/>
      <c r="L78" s="124"/>
      <c r="M78" s="125"/>
      <c r="N78" s="124"/>
      <c r="O78" s="109"/>
      <c r="P78" s="125"/>
    </row>
    <row r="79" customFormat="false" ht="36" hidden="false" customHeight="true" outlineLevel="0" collapsed="false">
      <c r="A79" s="120"/>
      <c r="B79" s="121"/>
      <c r="C79" s="120"/>
      <c r="D79" s="120"/>
      <c r="E79" s="120"/>
      <c r="F79" s="120"/>
      <c r="G79" s="122"/>
      <c r="H79" s="122"/>
      <c r="I79" s="120"/>
      <c r="J79" s="123"/>
      <c r="K79" s="123"/>
      <c r="L79" s="124"/>
      <c r="M79" s="125"/>
      <c r="N79" s="124"/>
      <c r="O79" s="109"/>
      <c r="P79" s="125"/>
    </row>
    <row r="80" customFormat="false" ht="36" hidden="false" customHeight="true" outlineLevel="0" collapsed="false">
      <c r="A80" s="120"/>
      <c r="B80" s="121"/>
      <c r="C80" s="120"/>
      <c r="D80" s="120"/>
      <c r="E80" s="120"/>
      <c r="F80" s="120"/>
      <c r="G80" s="122"/>
      <c r="H80" s="122"/>
      <c r="I80" s="120"/>
      <c r="J80" s="123"/>
      <c r="K80" s="123"/>
      <c r="L80" s="124"/>
      <c r="M80" s="125"/>
      <c r="N80" s="124"/>
      <c r="O80" s="109"/>
      <c r="P80" s="125"/>
    </row>
    <row r="81" customFormat="false" ht="36" hidden="false" customHeight="true" outlineLevel="0" collapsed="false">
      <c r="A81" s="120"/>
      <c r="B81" s="121"/>
      <c r="C81" s="120"/>
      <c r="D81" s="120"/>
      <c r="E81" s="120"/>
      <c r="F81" s="120"/>
      <c r="G81" s="122"/>
      <c r="H81" s="122"/>
      <c r="I81" s="120"/>
      <c r="J81" s="123"/>
      <c r="K81" s="123"/>
      <c r="L81" s="124"/>
      <c r="M81" s="125"/>
      <c r="N81" s="124"/>
      <c r="O81" s="109"/>
      <c r="P81" s="125"/>
    </row>
    <row r="82" customFormat="false" ht="36" hidden="false" customHeight="true" outlineLevel="0" collapsed="false">
      <c r="A82" s="120"/>
      <c r="B82" s="121"/>
      <c r="C82" s="120"/>
      <c r="D82" s="120"/>
      <c r="E82" s="120"/>
      <c r="F82" s="120"/>
      <c r="G82" s="122"/>
      <c r="H82" s="122"/>
      <c r="I82" s="120"/>
      <c r="J82" s="123"/>
      <c r="K82" s="123"/>
      <c r="L82" s="124"/>
      <c r="M82" s="125"/>
      <c r="N82" s="124"/>
      <c r="O82" s="109"/>
      <c r="P82" s="125"/>
    </row>
    <row r="83" customFormat="false" ht="36" hidden="false" customHeight="true" outlineLevel="0" collapsed="false">
      <c r="A83" s="120"/>
      <c r="B83" s="121"/>
      <c r="C83" s="120"/>
      <c r="D83" s="120"/>
      <c r="E83" s="120"/>
      <c r="F83" s="120"/>
      <c r="G83" s="122"/>
      <c r="H83" s="122"/>
      <c r="I83" s="120"/>
      <c r="J83" s="123"/>
      <c r="K83" s="123"/>
      <c r="L83" s="124"/>
      <c r="M83" s="125"/>
      <c r="N83" s="124"/>
      <c r="O83" s="109"/>
      <c r="P83" s="125"/>
    </row>
    <row r="84" customFormat="false" ht="36" hidden="false" customHeight="true" outlineLevel="0" collapsed="false">
      <c r="A84" s="120"/>
      <c r="B84" s="121"/>
      <c r="C84" s="120"/>
      <c r="D84" s="120"/>
      <c r="E84" s="120"/>
      <c r="F84" s="120"/>
      <c r="G84" s="122"/>
      <c r="H84" s="122"/>
      <c r="I84" s="120"/>
      <c r="J84" s="123"/>
      <c r="K84" s="123"/>
      <c r="L84" s="124"/>
      <c r="M84" s="125"/>
      <c r="N84" s="124"/>
      <c r="O84" s="109"/>
      <c r="P84" s="125"/>
    </row>
    <row r="85" customFormat="false" ht="36" hidden="false" customHeight="true" outlineLevel="0" collapsed="false">
      <c r="A85" s="120"/>
      <c r="B85" s="121"/>
      <c r="C85" s="120"/>
      <c r="D85" s="120"/>
      <c r="E85" s="120"/>
      <c r="F85" s="120"/>
      <c r="G85" s="122"/>
      <c r="H85" s="122"/>
      <c r="I85" s="120"/>
      <c r="J85" s="123"/>
      <c r="K85" s="123"/>
      <c r="L85" s="124"/>
      <c r="M85" s="125"/>
      <c r="N85" s="124"/>
      <c r="O85" s="109"/>
      <c r="P85" s="125"/>
    </row>
    <row r="86" customFormat="false" ht="36" hidden="false" customHeight="true" outlineLevel="0" collapsed="false">
      <c r="A86" s="120"/>
      <c r="B86" s="121"/>
      <c r="C86" s="120"/>
      <c r="D86" s="120"/>
      <c r="E86" s="120"/>
      <c r="F86" s="120"/>
      <c r="G86" s="122"/>
      <c r="H86" s="122"/>
      <c r="I86" s="120"/>
      <c r="J86" s="123"/>
      <c r="K86" s="123"/>
      <c r="L86" s="124"/>
      <c r="M86" s="125"/>
      <c r="N86" s="124"/>
      <c r="O86" s="109"/>
      <c r="P86" s="125"/>
    </row>
    <row r="87" customFormat="false" ht="36" hidden="false" customHeight="true" outlineLevel="0" collapsed="false">
      <c r="A87" s="120"/>
      <c r="B87" s="121"/>
      <c r="C87" s="120"/>
      <c r="D87" s="120"/>
      <c r="E87" s="120"/>
      <c r="F87" s="120"/>
      <c r="G87" s="122"/>
      <c r="H87" s="122"/>
      <c r="I87" s="120"/>
      <c r="J87" s="123"/>
      <c r="K87" s="123"/>
      <c r="L87" s="124"/>
      <c r="M87" s="125"/>
      <c r="N87" s="124"/>
      <c r="O87" s="109"/>
      <c r="P87" s="125"/>
    </row>
    <row r="88" customFormat="false" ht="36" hidden="false" customHeight="true" outlineLevel="0" collapsed="false">
      <c r="A88" s="120"/>
      <c r="B88" s="121"/>
      <c r="C88" s="120"/>
      <c r="D88" s="120"/>
      <c r="E88" s="120"/>
      <c r="F88" s="120"/>
      <c r="G88" s="122"/>
      <c r="H88" s="122"/>
      <c r="I88" s="120"/>
      <c r="J88" s="123"/>
      <c r="K88" s="123"/>
      <c r="L88" s="124"/>
      <c r="M88" s="125"/>
      <c r="N88" s="124"/>
      <c r="O88" s="109"/>
      <c r="P88" s="125"/>
    </row>
    <row r="89" customFormat="false" ht="36" hidden="false" customHeight="true" outlineLevel="0" collapsed="false">
      <c r="A89" s="120"/>
      <c r="B89" s="121"/>
      <c r="C89" s="120"/>
      <c r="D89" s="120"/>
      <c r="E89" s="120"/>
      <c r="F89" s="120"/>
      <c r="G89" s="122"/>
      <c r="H89" s="122"/>
      <c r="I89" s="120"/>
      <c r="J89" s="123"/>
      <c r="K89" s="123"/>
      <c r="L89" s="124"/>
      <c r="M89" s="125"/>
      <c r="N89" s="124"/>
      <c r="O89" s="109"/>
      <c r="P89" s="125"/>
    </row>
    <row r="90" customFormat="false" ht="36" hidden="false" customHeight="true" outlineLevel="0" collapsed="false">
      <c r="A90" s="120"/>
      <c r="B90" s="121"/>
      <c r="C90" s="120"/>
      <c r="D90" s="120"/>
      <c r="E90" s="120"/>
      <c r="F90" s="120"/>
      <c r="G90" s="122"/>
      <c r="H90" s="122"/>
      <c r="I90" s="120"/>
      <c r="J90" s="123"/>
      <c r="K90" s="123"/>
      <c r="L90" s="124"/>
      <c r="M90" s="125"/>
      <c r="N90" s="124"/>
      <c r="O90" s="109"/>
      <c r="P90" s="125"/>
    </row>
    <row r="91" customFormat="false" ht="36" hidden="false" customHeight="true" outlineLevel="0" collapsed="false">
      <c r="A91" s="120"/>
      <c r="B91" s="121"/>
      <c r="C91" s="120"/>
      <c r="D91" s="120"/>
      <c r="E91" s="120"/>
      <c r="F91" s="120"/>
      <c r="G91" s="122"/>
      <c r="H91" s="122"/>
      <c r="I91" s="120"/>
      <c r="J91" s="123"/>
      <c r="K91" s="123"/>
      <c r="L91" s="124"/>
      <c r="M91" s="125"/>
      <c r="N91" s="124"/>
      <c r="O91" s="109"/>
      <c r="P91" s="125"/>
    </row>
    <row r="92" customFormat="false" ht="36" hidden="false" customHeight="true" outlineLevel="0" collapsed="false">
      <c r="A92" s="120"/>
      <c r="B92" s="121"/>
      <c r="C92" s="120"/>
      <c r="D92" s="120"/>
      <c r="E92" s="120"/>
      <c r="F92" s="120"/>
      <c r="G92" s="122"/>
      <c r="H92" s="122"/>
      <c r="I92" s="120"/>
      <c r="J92" s="123"/>
      <c r="K92" s="123"/>
      <c r="L92" s="124"/>
      <c r="M92" s="125"/>
      <c r="N92" s="124"/>
      <c r="O92" s="109"/>
      <c r="P92" s="125"/>
    </row>
    <row r="93" customFormat="false" ht="36" hidden="false" customHeight="true" outlineLevel="0" collapsed="false">
      <c r="A93" s="120"/>
      <c r="B93" s="121"/>
      <c r="C93" s="120"/>
      <c r="D93" s="120"/>
      <c r="E93" s="120"/>
      <c r="F93" s="120"/>
      <c r="G93" s="122"/>
      <c r="H93" s="122"/>
      <c r="I93" s="120"/>
      <c r="J93" s="123"/>
      <c r="K93" s="123"/>
      <c r="L93" s="124"/>
      <c r="M93" s="125"/>
      <c r="N93" s="124"/>
      <c r="O93" s="109"/>
      <c r="P93" s="125"/>
    </row>
    <row r="94" customFormat="false" ht="36" hidden="false" customHeight="true" outlineLevel="0" collapsed="false">
      <c r="A94" s="120"/>
      <c r="B94" s="121"/>
      <c r="C94" s="120"/>
      <c r="D94" s="120"/>
      <c r="E94" s="120"/>
      <c r="F94" s="120"/>
      <c r="G94" s="122"/>
      <c r="H94" s="122"/>
      <c r="I94" s="120"/>
      <c r="J94" s="123"/>
      <c r="K94" s="123"/>
      <c r="L94" s="124"/>
      <c r="M94" s="125"/>
      <c r="N94" s="124"/>
      <c r="O94" s="109"/>
      <c r="P94" s="125"/>
    </row>
    <row r="95" customFormat="false" ht="36" hidden="false" customHeight="true" outlineLevel="0" collapsed="false">
      <c r="A95" s="120"/>
      <c r="B95" s="121"/>
      <c r="C95" s="120"/>
      <c r="D95" s="120"/>
      <c r="E95" s="120"/>
      <c r="F95" s="120"/>
      <c r="G95" s="122"/>
      <c r="H95" s="122"/>
      <c r="I95" s="120"/>
      <c r="J95" s="123"/>
      <c r="K95" s="123"/>
      <c r="L95" s="124"/>
      <c r="M95" s="125"/>
      <c r="N95" s="124"/>
      <c r="O95" s="109"/>
      <c r="P95" s="125"/>
    </row>
    <row r="96" customFormat="false" ht="36" hidden="false" customHeight="true" outlineLevel="0" collapsed="false">
      <c r="A96" s="120"/>
      <c r="B96" s="121"/>
      <c r="C96" s="120"/>
      <c r="D96" s="120"/>
      <c r="E96" s="120"/>
      <c r="F96" s="120"/>
      <c r="G96" s="122"/>
      <c r="H96" s="122"/>
      <c r="I96" s="120"/>
      <c r="J96" s="123"/>
      <c r="K96" s="123"/>
      <c r="L96" s="124"/>
      <c r="M96" s="125"/>
      <c r="N96" s="124"/>
      <c r="O96" s="109"/>
      <c r="P96" s="125"/>
    </row>
    <row r="97" customFormat="false" ht="36" hidden="false" customHeight="true" outlineLevel="0" collapsed="false">
      <c r="A97" s="120"/>
      <c r="B97" s="121"/>
      <c r="C97" s="120"/>
      <c r="D97" s="120"/>
      <c r="E97" s="120"/>
      <c r="F97" s="120"/>
      <c r="G97" s="122"/>
      <c r="H97" s="122"/>
      <c r="I97" s="120"/>
      <c r="J97" s="123"/>
      <c r="K97" s="123"/>
      <c r="L97" s="124"/>
      <c r="M97" s="125"/>
      <c r="N97" s="124"/>
      <c r="O97" s="109"/>
      <c r="P97" s="125"/>
    </row>
    <row r="98" customFormat="false" ht="36" hidden="false" customHeight="true" outlineLevel="0" collapsed="false">
      <c r="A98" s="120"/>
      <c r="B98" s="121"/>
      <c r="C98" s="120"/>
      <c r="D98" s="120"/>
      <c r="E98" s="120"/>
      <c r="F98" s="120"/>
      <c r="G98" s="122"/>
      <c r="H98" s="122"/>
      <c r="I98" s="120"/>
      <c r="J98" s="123"/>
      <c r="K98" s="123"/>
      <c r="L98" s="124"/>
      <c r="M98" s="125"/>
      <c r="N98" s="124"/>
      <c r="O98" s="109"/>
      <c r="P98" s="125"/>
    </row>
    <row r="99" customFormat="false" ht="36" hidden="false" customHeight="true" outlineLevel="0" collapsed="false">
      <c r="A99" s="120"/>
      <c r="B99" s="121"/>
      <c r="C99" s="120"/>
      <c r="D99" s="120"/>
      <c r="E99" s="120"/>
      <c r="F99" s="120"/>
      <c r="G99" s="122"/>
      <c r="H99" s="122"/>
      <c r="I99" s="120"/>
      <c r="J99" s="123"/>
      <c r="K99" s="123"/>
      <c r="L99" s="124"/>
      <c r="M99" s="125"/>
      <c r="N99" s="124"/>
      <c r="O99" s="109"/>
      <c r="P99" s="125"/>
    </row>
    <row r="100" customFormat="false" ht="36" hidden="false" customHeight="true" outlineLevel="0" collapsed="false">
      <c r="A100" s="120"/>
      <c r="B100" s="121"/>
      <c r="C100" s="120"/>
      <c r="D100" s="120"/>
      <c r="E100" s="120"/>
      <c r="F100" s="120"/>
      <c r="G100" s="122"/>
      <c r="H100" s="122"/>
      <c r="I100" s="120"/>
      <c r="J100" s="123"/>
      <c r="K100" s="123"/>
      <c r="L100" s="124"/>
      <c r="M100" s="125"/>
      <c r="N100" s="124"/>
      <c r="O100" s="109"/>
      <c r="P100" s="125"/>
    </row>
    <row r="101" customFormat="false" ht="36" hidden="false" customHeight="true" outlineLevel="0" collapsed="false">
      <c r="A101" s="120"/>
      <c r="B101" s="121"/>
      <c r="C101" s="120"/>
      <c r="D101" s="120"/>
      <c r="E101" s="120"/>
      <c r="F101" s="120"/>
      <c r="G101" s="122"/>
      <c r="H101" s="122"/>
      <c r="I101" s="120"/>
      <c r="J101" s="123"/>
      <c r="K101" s="123"/>
      <c r="L101" s="124"/>
      <c r="M101" s="125"/>
      <c r="N101" s="124"/>
      <c r="O101" s="109"/>
      <c r="P101" s="125"/>
    </row>
    <row r="102" customFormat="false" ht="36" hidden="false" customHeight="true" outlineLevel="0" collapsed="false">
      <c r="A102" s="120"/>
      <c r="B102" s="121"/>
      <c r="C102" s="120"/>
      <c r="D102" s="120"/>
      <c r="E102" s="120"/>
      <c r="F102" s="120"/>
      <c r="G102" s="122"/>
      <c r="H102" s="122"/>
      <c r="I102" s="120"/>
      <c r="J102" s="123"/>
      <c r="K102" s="123"/>
      <c r="L102" s="124"/>
      <c r="M102" s="125"/>
      <c r="N102" s="124"/>
      <c r="O102" s="109"/>
      <c r="P102" s="125"/>
    </row>
    <row r="103" customFormat="false" ht="36" hidden="false" customHeight="true" outlineLevel="0" collapsed="false">
      <c r="A103" s="120"/>
      <c r="B103" s="121"/>
      <c r="C103" s="120"/>
      <c r="D103" s="120"/>
      <c r="E103" s="120"/>
      <c r="F103" s="120"/>
      <c r="G103" s="122"/>
      <c r="H103" s="122"/>
      <c r="I103" s="120"/>
      <c r="J103" s="123"/>
      <c r="K103" s="123"/>
      <c r="L103" s="124"/>
      <c r="M103" s="125"/>
      <c r="N103" s="124"/>
      <c r="O103" s="109"/>
      <c r="P103" s="125"/>
    </row>
    <row r="104" customFormat="false" ht="36" hidden="false" customHeight="true" outlineLevel="0" collapsed="false">
      <c r="A104" s="120"/>
      <c r="B104" s="121"/>
      <c r="C104" s="120"/>
      <c r="D104" s="120"/>
      <c r="E104" s="120"/>
      <c r="F104" s="120"/>
      <c r="G104" s="122"/>
      <c r="H104" s="122"/>
      <c r="I104" s="120"/>
      <c r="J104" s="123"/>
      <c r="K104" s="123"/>
      <c r="L104" s="124"/>
      <c r="M104" s="125"/>
      <c r="N104" s="124"/>
      <c r="O104" s="109"/>
      <c r="P104" s="125"/>
    </row>
    <row r="105" customFormat="false" ht="36" hidden="false" customHeight="true" outlineLevel="0" collapsed="false">
      <c r="A105" s="120"/>
      <c r="B105" s="121"/>
      <c r="C105" s="120"/>
      <c r="D105" s="120"/>
      <c r="E105" s="120"/>
      <c r="F105" s="120"/>
      <c r="G105" s="122"/>
      <c r="H105" s="122"/>
      <c r="I105" s="120"/>
      <c r="J105" s="123"/>
      <c r="K105" s="123"/>
      <c r="L105" s="124"/>
      <c r="M105" s="125"/>
      <c r="N105" s="124"/>
      <c r="O105" s="109"/>
      <c r="P105" s="125"/>
    </row>
    <row r="106" customFormat="false" ht="36" hidden="false" customHeight="true" outlineLevel="0" collapsed="false">
      <c r="A106" s="120"/>
      <c r="B106" s="121"/>
      <c r="C106" s="120"/>
      <c r="D106" s="120"/>
      <c r="E106" s="120"/>
      <c r="F106" s="120"/>
      <c r="G106" s="122"/>
      <c r="H106" s="122"/>
      <c r="I106" s="120"/>
      <c r="J106" s="123"/>
      <c r="K106" s="123"/>
      <c r="L106" s="124"/>
      <c r="M106" s="125"/>
      <c r="N106" s="124"/>
      <c r="O106" s="109"/>
      <c r="P106" s="125"/>
    </row>
    <row r="107" customFormat="false" ht="36" hidden="false" customHeight="true" outlineLevel="0" collapsed="false">
      <c r="A107" s="120"/>
      <c r="B107" s="121"/>
      <c r="C107" s="120"/>
      <c r="D107" s="120"/>
      <c r="E107" s="120"/>
      <c r="F107" s="120"/>
      <c r="G107" s="122"/>
      <c r="H107" s="122"/>
      <c r="I107" s="120"/>
      <c r="J107" s="123"/>
      <c r="K107" s="123"/>
      <c r="L107" s="124"/>
      <c r="M107" s="125"/>
      <c r="N107" s="124"/>
      <c r="O107" s="109"/>
      <c r="P107" s="125"/>
    </row>
    <row r="108" customFormat="false" ht="36" hidden="false" customHeight="true" outlineLevel="0" collapsed="false">
      <c r="A108" s="120"/>
      <c r="B108" s="121"/>
      <c r="C108" s="120"/>
      <c r="D108" s="120"/>
      <c r="E108" s="120"/>
      <c r="F108" s="120"/>
      <c r="G108" s="122"/>
      <c r="H108" s="122"/>
      <c r="I108" s="120"/>
      <c r="J108" s="123"/>
      <c r="K108" s="123"/>
      <c r="L108" s="124"/>
      <c r="M108" s="125"/>
      <c r="N108" s="124"/>
      <c r="O108" s="109"/>
      <c r="P108" s="125"/>
    </row>
    <row r="109" customFormat="false" ht="36" hidden="false" customHeight="true" outlineLevel="0" collapsed="false">
      <c r="A109" s="120"/>
      <c r="B109" s="121"/>
      <c r="C109" s="120"/>
      <c r="D109" s="120"/>
      <c r="E109" s="120"/>
      <c r="F109" s="120"/>
      <c r="G109" s="122"/>
      <c r="H109" s="122"/>
      <c r="I109" s="120"/>
      <c r="J109" s="123"/>
      <c r="K109" s="123"/>
      <c r="L109" s="124"/>
      <c r="M109" s="125"/>
      <c r="N109" s="124"/>
      <c r="O109" s="109"/>
      <c r="P109" s="125"/>
    </row>
    <row r="110" customFormat="false" ht="36" hidden="false" customHeight="true" outlineLevel="0" collapsed="false">
      <c r="A110" s="120"/>
      <c r="B110" s="121"/>
      <c r="C110" s="120"/>
      <c r="D110" s="120"/>
      <c r="E110" s="120"/>
      <c r="F110" s="120"/>
      <c r="G110" s="122"/>
      <c r="H110" s="122"/>
      <c r="I110" s="120"/>
      <c r="J110" s="123"/>
      <c r="K110" s="123"/>
      <c r="L110" s="124"/>
      <c r="M110" s="125"/>
      <c r="N110" s="124"/>
      <c r="O110" s="109"/>
      <c r="P110" s="125"/>
    </row>
    <row r="111" customFormat="false" ht="36" hidden="false" customHeight="true" outlineLevel="0" collapsed="false">
      <c r="A111" s="120"/>
      <c r="B111" s="121"/>
      <c r="C111" s="120"/>
      <c r="D111" s="120"/>
      <c r="E111" s="120"/>
      <c r="F111" s="120"/>
      <c r="G111" s="122"/>
      <c r="H111" s="122"/>
      <c r="I111" s="120"/>
      <c r="J111" s="123"/>
      <c r="K111" s="123"/>
      <c r="L111" s="124"/>
      <c r="M111" s="125"/>
      <c r="N111" s="124"/>
      <c r="O111" s="109"/>
      <c r="P111" s="125"/>
    </row>
    <row r="112" customFormat="false" ht="36" hidden="false" customHeight="true" outlineLevel="0" collapsed="false">
      <c r="A112" s="120"/>
      <c r="B112" s="121"/>
      <c r="C112" s="120"/>
      <c r="D112" s="120"/>
      <c r="E112" s="120"/>
      <c r="F112" s="120"/>
      <c r="G112" s="122"/>
      <c r="H112" s="122"/>
      <c r="I112" s="120"/>
      <c r="J112" s="123"/>
      <c r="K112" s="123"/>
      <c r="L112" s="124"/>
      <c r="M112" s="125"/>
      <c r="N112" s="124"/>
      <c r="O112" s="109"/>
      <c r="P112" s="125"/>
    </row>
    <row r="113" customFormat="false" ht="36" hidden="false" customHeight="true" outlineLevel="0" collapsed="false">
      <c r="A113" s="120"/>
      <c r="B113" s="121"/>
      <c r="C113" s="120"/>
      <c r="D113" s="120"/>
      <c r="E113" s="120"/>
      <c r="F113" s="120"/>
      <c r="G113" s="122"/>
      <c r="H113" s="122"/>
      <c r="I113" s="120"/>
      <c r="J113" s="123"/>
      <c r="K113" s="123"/>
      <c r="L113" s="124"/>
      <c r="M113" s="125"/>
      <c r="N113" s="124"/>
      <c r="O113" s="109"/>
      <c r="P113" s="125"/>
    </row>
    <row r="114" customFormat="false" ht="36" hidden="false" customHeight="true" outlineLevel="0" collapsed="false">
      <c r="A114" s="120"/>
      <c r="B114" s="121"/>
      <c r="C114" s="120"/>
      <c r="D114" s="120"/>
      <c r="E114" s="120"/>
      <c r="F114" s="120"/>
      <c r="G114" s="122"/>
      <c r="H114" s="122"/>
      <c r="I114" s="120"/>
      <c r="J114" s="123"/>
      <c r="K114" s="123"/>
      <c r="L114" s="124"/>
      <c r="M114" s="125"/>
      <c r="N114" s="124"/>
      <c r="O114" s="109"/>
      <c r="P114" s="125"/>
    </row>
    <row r="115" customFormat="false" ht="36" hidden="false" customHeight="true" outlineLevel="0" collapsed="false">
      <c r="A115" s="120"/>
      <c r="B115" s="121"/>
      <c r="C115" s="120"/>
      <c r="D115" s="120"/>
      <c r="E115" s="120"/>
      <c r="F115" s="120"/>
      <c r="G115" s="122"/>
      <c r="H115" s="122"/>
      <c r="I115" s="120"/>
      <c r="J115" s="123"/>
      <c r="K115" s="123"/>
      <c r="L115" s="124"/>
      <c r="M115" s="125"/>
      <c r="N115" s="124"/>
      <c r="O115" s="109"/>
      <c r="P115" s="125"/>
    </row>
    <row r="116" customFormat="false" ht="36" hidden="false" customHeight="true" outlineLevel="0" collapsed="false">
      <c r="A116" s="120"/>
      <c r="B116" s="121"/>
      <c r="C116" s="120"/>
      <c r="D116" s="120"/>
      <c r="E116" s="120"/>
      <c r="F116" s="120"/>
      <c r="G116" s="122"/>
      <c r="H116" s="122"/>
      <c r="I116" s="120"/>
      <c r="J116" s="123"/>
      <c r="K116" s="123"/>
      <c r="L116" s="124"/>
      <c r="M116" s="125"/>
      <c r="N116" s="124"/>
      <c r="O116" s="109"/>
      <c r="P116" s="125"/>
    </row>
    <row r="117" customFormat="false" ht="36" hidden="false" customHeight="true" outlineLevel="0" collapsed="false">
      <c r="A117" s="120"/>
      <c r="B117" s="121"/>
      <c r="C117" s="120"/>
      <c r="D117" s="120"/>
      <c r="E117" s="120"/>
      <c r="F117" s="120"/>
      <c r="G117" s="122"/>
      <c r="H117" s="122"/>
      <c r="I117" s="120"/>
      <c r="J117" s="123"/>
      <c r="K117" s="123"/>
      <c r="L117" s="124"/>
      <c r="M117" s="125"/>
      <c r="N117" s="124"/>
      <c r="O117" s="109"/>
      <c r="P117" s="125"/>
    </row>
    <row r="118" customFormat="false" ht="36" hidden="false" customHeight="true" outlineLevel="0" collapsed="false">
      <c r="A118" s="120"/>
      <c r="B118" s="121"/>
      <c r="C118" s="120"/>
      <c r="D118" s="120"/>
      <c r="E118" s="120"/>
      <c r="F118" s="120"/>
      <c r="G118" s="122"/>
      <c r="H118" s="122"/>
      <c r="I118" s="120"/>
      <c r="J118" s="123"/>
      <c r="K118" s="123"/>
      <c r="L118" s="124"/>
      <c r="M118" s="125"/>
      <c r="N118" s="124"/>
      <c r="O118" s="109"/>
      <c r="P118" s="125"/>
    </row>
    <row r="119" customFormat="false" ht="36" hidden="false" customHeight="true" outlineLevel="0" collapsed="false">
      <c r="A119" s="120"/>
      <c r="B119" s="121"/>
      <c r="C119" s="120"/>
      <c r="D119" s="120"/>
      <c r="E119" s="120"/>
      <c r="F119" s="120"/>
      <c r="G119" s="122"/>
      <c r="H119" s="122"/>
      <c r="I119" s="120"/>
      <c r="J119" s="123"/>
      <c r="K119" s="123"/>
      <c r="L119" s="124"/>
      <c r="M119" s="125"/>
      <c r="N119" s="124"/>
      <c r="O119" s="109"/>
      <c r="P119" s="125"/>
    </row>
    <row r="120" customFormat="false" ht="36" hidden="false" customHeight="true" outlineLevel="0" collapsed="false">
      <c r="A120" s="120"/>
      <c r="B120" s="121"/>
      <c r="C120" s="120"/>
      <c r="D120" s="120"/>
      <c r="E120" s="120"/>
      <c r="F120" s="120"/>
      <c r="G120" s="122"/>
      <c r="H120" s="122"/>
      <c r="I120" s="120"/>
      <c r="J120" s="123"/>
      <c r="K120" s="123"/>
      <c r="L120" s="124"/>
      <c r="M120" s="125"/>
      <c r="N120" s="124"/>
      <c r="O120" s="109"/>
      <c r="P120" s="125"/>
    </row>
    <row r="121" customFormat="false" ht="36" hidden="false" customHeight="true" outlineLevel="0" collapsed="false">
      <c r="A121" s="120"/>
      <c r="B121" s="121"/>
      <c r="C121" s="120"/>
      <c r="D121" s="120"/>
      <c r="E121" s="120"/>
      <c r="F121" s="120"/>
      <c r="G121" s="122"/>
      <c r="H121" s="122"/>
      <c r="I121" s="120"/>
      <c r="J121" s="123"/>
      <c r="K121" s="123"/>
      <c r="L121" s="124"/>
      <c r="M121" s="125"/>
      <c r="N121" s="124"/>
      <c r="O121" s="109"/>
      <c r="P121" s="125"/>
    </row>
    <row r="122" customFormat="false" ht="36" hidden="false" customHeight="true" outlineLevel="0" collapsed="false">
      <c r="A122" s="120"/>
      <c r="B122" s="121"/>
      <c r="C122" s="120"/>
      <c r="D122" s="120"/>
      <c r="E122" s="120"/>
      <c r="F122" s="120"/>
      <c r="G122" s="122"/>
      <c r="H122" s="122"/>
      <c r="I122" s="120"/>
      <c r="J122" s="123"/>
      <c r="K122" s="123"/>
      <c r="L122" s="124"/>
      <c r="M122" s="125"/>
      <c r="N122" s="124"/>
      <c r="O122" s="109"/>
      <c r="P122" s="125"/>
    </row>
    <row r="123" customFormat="false" ht="36" hidden="false" customHeight="true" outlineLevel="0" collapsed="false">
      <c r="A123" s="120"/>
      <c r="B123" s="121"/>
      <c r="C123" s="120"/>
      <c r="D123" s="120"/>
      <c r="E123" s="120"/>
      <c r="F123" s="120"/>
      <c r="G123" s="122"/>
      <c r="H123" s="122"/>
      <c r="I123" s="120"/>
      <c r="J123" s="123"/>
      <c r="K123" s="123"/>
      <c r="L123" s="124"/>
      <c r="M123" s="125"/>
      <c r="N123" s="124"/>
      <c r="O123" s="109"/>
      <c r="P123" s="125"/>
    </row>
    <row r="124" customFormat="false" ht="36" hidden="false" customHeight="true" outlineLevel="0" collapsed="false">
      <c r="A124" s="120"/>
      <c r="B124" s="121"/>
      <c r="C124" s="120"/>
      <c r="D124" s="120"/>
      <c r="E124" s="120"/>
      <c r="F124" s="120"/>
      <c r="G124" s="122"/>
      <c r="H124" s="122"/>
      <c r="I124" s="120"/>
      <c r="J124" s="123"/>
      <c r="K124" s="123"/>
      <c r="L124" s="124"/>
      <c r="M124" s="125"/>
      <c r="N124" s="124"/>
      <c r="O124" s="109"/>
      <c r="P124" s="125"/>
    </row>
    <row r="125" customFormat="false" ht="36" hidden="false" customHeight="true" outlineLevel="0" collapsed="false">
      <c r="A125" s="120"/>
      <c r="B125" s="121"/>
      <c r="C125" s="120"/>
      <c r="D125" s="120"/>
      <c r="E125" s="120"/>
      <c r="F125" s="120"/>
      <c r="G125" s="122"/>
      <c r="H125" s="122"/>
      <c r="I125" s="120"/>
      <c r="J125" s="123"/>
      <c r="K125" s="123"/>
      <c r="L125" s="124"/>
      <c r="M125" s="125"/>
      <c r="N125" s="124"/>
      <c r="O125" s="109"/>
      <c r="P125" s="125"/>
    </row>
    <row r="126" customFormat="false" ht="36" hidden="false" customHeight="true" outlineLevel="0" collapsed="false">
      <c r="A126" s="120"/>
      <c r="B126" s="121"/>
      <c r="C126" s="120"/>
      <c r="D126" s="120"/>
      <c r="E126" s="120"/>
      <c r="F126" s="120"/>
      <c r="G126" s="122"/>
      <c r="H126" s="122"/>
      <c r="I126" s="120"/>
      <c r="J126" s="123"/>
      <c r="K126" s="123"/>
      <c r="L126" s="124"/>
      <c r="M126" s="125"/>
      <c r="N126" s="124"/>
      <c r="O126" s="109"/>
      <c r="P126" s="125"/>
    </row>
    <row r="127" customFormat="false" ht="36" hidden="false" customHeight="true" outlineLevel="0" collapsed="false">
      <c r="A127" s="120"/>
      <c r="B127" s="121"/>
      <c r="C127" s="120"/>
      <c r="D127" s="120"/>
      <c r="E127" s="120"/>
      <c r="F127" s="120"/>
      <c r="G127" s="122"/>
      <c r="H127" s="122"/>
      <c r="I127" s="120"/>
      <c r="J127" s="123"/>
      <c r="K127" s="123"/>
      <c r="L127" s="124"/>
      <c r="M127" s="125"/>
      <c r="N127" s="124"/>
      <c r="O127" s="109"/>
      <c r="P127" s="125"/>
    </row>
    <row r="128" customFormat="false" ht="36" hidden="false" customHeight="true" outlineLevel="0" collapsed="false">
      <c r="A128" s="120"/>
      <c r="B128" s="121"/>
      <c r="C128" s="120"/>
      <c r="D128" s="120"/>
      <c r="E128" s="120"/>
      <c r="F128" s="120"/>
      <c r="G128" s="122"/>
      <c r="H128" s="122"/>
      <c r="I128" s="120"/>
      <c r="J128" s="123"/>
      <c r="K128" s="123"/>
      <c r="L128" s="124"/>
      <c r="M128" s="125"/>
      <c r="N128" s="124"/>
      <c r="O128" s="109"/>
      <c r="P128" s="125"/>
    </row>
    <row r="129" customFormat="false" ht="36" hidden="false" customHeight="true" outlineLevel="0" collapsed="false">
      <c r="A129" s="120"/>
      <c r="B129" s="121"/>
      <c r="C129" s="120"/>
      <c r="D129" s="120"/>
      <c r="E129" s="120"/>
      <c r="F129" s="120"/>
      <c r="G129" s="122"/>
      <c r="H129" s="122"/>
      <c r="I129" s="120"/>
      <c r="J129" s="123"/>
      <c r="K129" s="123"/>
      <c r="L129" s="124"/>
      <c r="M129" s="125"/>
      <c r="N129" s="124"/>
      <c r="O129" s="109"/>
      <c r="P129" s="125"/>
    </row>
    <row r="130" customFormat="false" ht="36" hidden="false" customHeight="true" outlineLevel="0" collapsed="false">
      <c r="A130" s="120"/>
      <c r="B130" s="121"/>
      <c r="C130" s="120"/>
      <c r="D130" s="120"/>
      <c r="E130" s="120"/>
      <c r="F130" s="120"/>
      <c r="G130" s="122"/>
      <c r="H130" s="122"/>
      <c r="I130" s="120"/>
      <c r="J130" s="123"/>
      <c r="K130" s="123"/>
      <c r="L130" s="124"/>
      <c r="M130" s="125"/>
      <c r="N130" s="124"/>
      <c r="O130" s="109"/>
      <c r="P130" s="125"/>
    </row>
    <row r="131" customFormat="false" ht="36" hidden="false" customHeight="true" outlineLevel="0" collapsed="false">
      <c r="A131" s="120"/>
      <c r="B131" s="121"/>
      <c r="C131" s="120"/>
      <c r="D131" s="120"/>
      <c r="E131" s="120"/>
      <c r="F131" s="120"/>
      <c r="G131" s="122"/>
      <c r="H131" s="122"/>
      <c r="I131" s="120"/>
      <c r="J131" s="123"/>
      <c r="K131" s="123"/>
      <c r="L131" s="124"/>
      <c r="M131" s="125"/>
      <c r="N131" s="124"/>
      <c r="O131" s="109"/>
      <c r="P131" s="125"/>
    </row>
    <row r="132" customFormat="false" ht="36" hidden="false" customHeight="true" outlineLevel="0" collapsed="false">
      <c r="A132" s="120"/>
      <c r="B132" s="121"/>
      <c r="C132" s="120"/>
      <c r="D132" s="120"/>
      <c r="E132" s="120"/>
      <c r="F132" s="120"/>
      <c r="G132" s="122"/>
      <c r="H132" s="122"/>
      <c r="I132" s="120"/>
      <c r="J132" s="123"/>
      <c r="K132" s="123"/>
      <c r="L132" s="124"/>
      <c r="M132" s="125"/>
      <c r="N132" s="124"/>
      <c r="O132" s="109"/>
      <c r="P132" s="125"/>
    </row>
    <row r="133" customFormat="false" ht="36" hidden="false" customHeight="true" outlineLevel="0" collapsed="false">
      <c r="A133" s="120"/>
      <c r="B133" s="121"/>
      <c r="C133" s="120"/>
      <c r="D133" s="120"/>
      <c r="E133" s="120"/>
      <c r="F133" s="120"/>
      <c r="G133" s="122"/>
      <c r="H133" s="122"/>
      <c r="I133" s="120"/>
      <c r="J133" s="123"/>
      <c r="K133" s="123"/>
      <c r="L133" s="124"/>
      <c r="M133" s="125"/>
      <c r="N133" s="124"/>
      <c r="O133" s="109"/>
      <c r="P133" s="125"/>
    </row>
    <row r="134" customFormat="false" ht="36" hidden="false" customHeight="true" outlineLevel="0" collapsed="false">
      <c r="A134" s="120"/>
      <c r="B134" s="121"/>
      <c r="C134" s="120"/>
      <c r="D134" s="120"/>
      <c r="E134" s="120"/>
      <c r="F134" s="120"/>
      <c r="G134" s="122"/>
      <c r="H134" s="122"/>
      <c r="I134" s="120"/>
      <c r="J134" s="123"/>
      <c r="K134" s="123"/>
      <c r="L134" s="124"/>
      <c r="M134" s="125"/>
      <c r="N134" s="124"/>
      <c r="O134" s="109"/>
      <c r="P134" s="125"/>
    </row>
    <row r="135" customFormat="false" ht="36" hidden="false" customHeight="true" outlineLevel="0" collapsed="false">
      <c r="A135" s="120"/>
      <c r="B135" s="121"/>
      <c r="C135" s="120"/>
      <c r="D135" s="120"/>
      <c r="E135" s="120"/>
      <c r="F135" s="120"/>
      <c r="G135" s="122"/>
      <c r="H135" s="122"/>
      <c r="I135" s="120"/>
      <c r="J135" s="123"/>
      <c r="K135" s="123"/>
      <c r="L135" s="124"/>
      <c r="M135" s="125"/>
      <c r="N135" s="124"/>
      <c r="O135" s="109"/>
      <c r="P135" s="125"/>
    </row>
    <row r="136" customFormat="false" ht="36" hidden="false" customHeight="true" outlineLevel="0" collapsed="false">
      <c r="A136" s="120"/>
      <c r="B136" s="121"/>
      <c r="C136" s="120"/>
      <c r="D136" s="120"/>
      <c r="E136" s="120"/>
      <c r="F136" s="120"/>
      <c r="G136" s="122"/>
      <c r="H136" s="122"/>
      <c r="I136" s="120"/>
      <c r="J136" s="123"/>
      <c r="K136" s="123"/>
      <c r="L136" s="124"/>
      <c r="M136" s="125"/>
      <c r="N136" s="124"/>
      <c r="O136" s="109"/>
      <c r="P136" s="125"/>
    </row>
    <row r="137" customFormat="false" ht="36" hidden="false" customHeight="true" outlineLevel="0" collapsed="false">
      <c r="A137" s="120"/>
      <c r="B137" s="121"/>
      <c r="C137" s="120"/>
      <c r="D137" s="120"/>
      <c r="E137" s="120"/>
      <c r="F137" s="120"/>
      <c r="G137" s="122"/>
      <c r="H137" s="122"/>
      <c r="I137" s="120"/>
      <c r="J137" s="123"/>
      <c r="K137" s="123"/>
      <c r="L137" s="124"/>
      <c r="M137" s="125"/>
      <c r="N137" s="124"/>
      <c r="O137" s="109"/>
      <c r="P137" s="125"/>
    </row>
    <row r="138" customFormat="false" ht="36" hidden="false" customHeight="true" outlineLevel="0" collapsed="false">
      <c r="A138" s="120"/>
      <c r="B138" s="121"/>
      <c r="C138" s="120"/>
      <c r="D138" s="120"/>
      <c r="E138" s="120"/>
      <c r="F138" s="120"/>
      <c r="G138" s="122"/>
      <c r="H138" s="122"/>
      <c r="I138" s="120"/>
      <c r="J138" s="123"/>
      <c r="K138" s="123"/>
      <c r="L138" s="124"/>
      <c r="M138" s="125"/>
      <c r="N138" s="124"/>
      <c r="O138" s="109"/>
      <c r="P138" s="125"/>
    </row>
    <row r="139" customFormat="false" ht="36" hidden="false" customHeight="true" outlineLevel="0" collapsed="false">
      <c r="A139" s="120"/>
      <c r="B139" s="121"/>
      <c r="C139" s="120"/>
      <c r="D139" s="120"/>
      <c r="E139" s="120"/>
      <c r="F139" s="120"/>
      <c r="G139" s="122"/>
      <c r="H139" s="122"/>
      <c r="I139" s="120"/>
      <c r="J139" s="123"/>
      <c r="K139" s="123"/>
      <c r="L139" s="124"/>
      <c r="M139" s="125"/>
      <c r="N139" s="124"/>
      <c r="O139" s="109"/>
      <c r="P139" s="125"/>
    </row>
    <row r="140" customFormat="false" ht="36" hidden="false" customHeight="true" outlineLevel="0" collapsed="false">
      <c r="A140" s="120"/>
      <c r="B140" s="121"/>
      <c r="C140" s="120"/>
      <c r="D140" s="120"/>
      <c r="E140" s="120"/>
      <c r="F140" s="120"/>
      <c r="G140" s="122"/>
      <c r="H140" s="122"/>
      <c r="I140" s="120"/>
      <c r="J140" s="123"/>
      <c r="K140" s="123"/>
      <c r="L140" s="124"/>
      <c r="M140" s="125"/>
      <c r="N140" s="124"/>
      <c r="O140" s="109"/>
      <c r="P140" s="125"/>
    </row>
    <row r="141" customFormat="false" ht="36" hidden="false" customHeight="true" outlineLevel="0" collapsed="false">
      <c r="A141" s="120"/>
      <c r="B141" s="121"/>
      <c r="C141" s="120"/>
      <c r="D141" s="120"/>
      <c r="E141" s="120"/>
      <c r="F141" s="120"/>
      <c r="G141" s="122"/>
      <c r="H141" s="122"/>
      <c r="I141" s="120"/>
      <c r="J141" s="123"/>
      <c r="K141" s="123"/>
      <c r="L141" s="124"/>
      <c r="M141" s="125"/>
      <c r="N141" s="124"/>
      <c r="O141" s="109"/>
      <c r="P141" s="125"/>
    </row>
    <row r="142" customFormat="false" ht="36" hidden="false" customHeight="true" outlineLevel="0" collapsed="false">
      <c r="A142" s="120"/>
      <c r="B142" s="121"/>
      <c r="C142" s="120"/>
      <c r="D142" s="120"/>
      <c r="E142" s="120"/>
      <c r="F142" s="120"/>
      <c r="G142" s="122"/>
      <c r="H142" s="122"/>
      <c r="I142" s="120"/>
      <c r="J142" s="123"/>
      <c r="K142" s="123"/>
      <c r="L142" s="124"/>
      <c r="M142" s="125"/>
      <c r="N142" s="124"/>
      <c r="O142" s="109"/>
      <c r="P142" s="125"/>
    </row>
    <row r="143" customFormat="false" ht="36" hidden="false" customHeight="true" outlineLevel="0" collapsed="false">
      <c r="A143" s="120"/>
      <c r="B143" s="121"/>
      <c r="C143" s="120"/>
      <c r="D143" s="120"/>
      <c r="E143" s="120"/>
      <c r="F143" s="120"/>
      <c r="G143" s="122"/>
      <c r="H143" s="122"/>
      <c r="I143" s="120"/>
      <c r="J143" s="123"/>
      <c r="K143" s="123"/>
      <c r="L143" s="124"/>
      <c r="M143" s="125"/>
      <c r="N143" s="124"/>
      <c r="O143" s="109"/>
      <c r="P143" s="125"/>
    </row>
    <row r="144" customFormat="false" ht="36" hidden="false" customHeight="true" outlineLevel="0" collapsed="false">
      <c r="A144" s="120"/>
      <c r="B144" s="121"/>
      <c r="C144" s="120"/>
      <c r="D144" s="120"/>
      <c r="E144" s="120"/>
      <c r="F144" s="120"/>
      <c r="G144" s="122"/>
      <c r="H144" s="122"/>
      <c r="I144" s="120"/>
      <c r="J144" s="123"/>
      <c r="K144" s="123"/>
      <c r="L144" s="124"/>
      <c r="M144" s="125"/>
      <c r="N144" s="124"/>
      <c r="O144" s="109"/>
      <c r="P144" s="125"/>
    </row>
    <row r="145" customFormat="false" ht="36" hidden="false" customHeight="true" outlineLevel="0" collapsed="false">
      <c r="A145" s="120"/>
      <c r="B145" s="121"/>
      <c r="C145" s="120"/>
      <c r="D145" s="120"/>
      <c r="E145" s="120"/>
      <c r="F145" s="120"/>
      <c r="G145" s="122"/>
      <c r="H145" s="122"/>
      <c r="I145" s="120"/>
      <c r="J145" s="123"/>
      <c r="K145" s="123"/>
      <c r="L145" s="124"/>
      <c r="M145" s="125"/>
      <c r="N145" s="124"/>
      <c r="O145" s="109"/>
      <c r="P145" s="125"/>
    </row>
    <row r="146" customFormat="false" ht="36" hidden="false" customHeight="true" outlineLevel="0" collapsed="false">
      <c r="A146" s="120"/>
      <c r="B146" s="121"/>
      <c r="C146" s="120"/>
      <c r="D146" s="120"/>
      <c r="E146" s="120"/>
      <c r="F146" s="120"/>
      <c r="G146" s="122"/>
      <c r="H146" s="122"/>
      <c r="I146" s="120"/>
      <c r="J146" s="123"/>
      <c r="K146" s="123"/>
      <c r="L146" s="124"/>
      <c r="M146" s="125"/>
      <c r="N146" s="124"/>
      <c r="O146" s="109"/>
      <c r="P146" s="125"/>
    </row>
    <row r="147" customFormat="false" ht="36" hidden="false" customHeight="true" outlineLevel="0" collapsed="false">
      <c r="A147" s="120"/>
      <c r="B147" s="121"/>
      <c r="C147" s="120"/>
      <c r="D147" s="120"/>
      <c r="E147" s="120"/>
      <c r="F147" s="120"/>
      <c r="G147" s="122"/>
      <c r="H147" s="122"/>
      <c r="I147" s="120"/>
      <c r="J147" s="123"/>
      <c r="K147" s="123"/>
      <c r="L147" s="124"/>
      <c r="M147" s="125"/>
      <c r="N147" s="124"/>
      <c r="O147" s="109"/>
      <c r="P147" s="125"/>
    </row>
    <row r="148" customFormat="false" ht="36" hidden="false" customHeight="true" outlineLevel="0" collapsed="false">
      <c r="A148" s="120"/>
      <c r="B148" s="121"/>
      <c r="C148" s="120"/>
      <c r="D148" s="120"/>
      <c r="E148" s="120"/>
      <c r="F148" s="120"/>
      <c r="G148" s="122"/>
      <c r="H148" s="122"/>
      <c r="I148" s="120"/>
      <c r="J148" s="123"/>
      <c r="K148" s="123"/>
      <c r="L148" s="124"/>
      <c r="M148" s="125"/>
      <c r="N148" s="124"/>
      <c r="O148" s="109"/>
      <c r="P148" s="125"/>
    </row>
    <row r="149" customFormat="false" ht="36" hidden="false" customHeight="true" outlineLevel="0" collapsed="false">
      <c r="A149" s="120"/>
      <c r="B149" s="121"/>
      <c r="C149" s="120"/>
      <c r="D149" s="120"/>
      <c r="E149" s="120"/>
      <c r="F149" s="120"/>
      <c r="G149" s="122"/>
      <c r="H149" s="122"/>
      <c r="I149" s="120"/>
      <c r="J149" s="123"/>
      <c r="K149" s="123"/>
      <c r="L149" s="124"/>
      <c r="M149" s="125"/>
      <c r="N149" s="124"/>
      <c r="O149" s="109"/>
      <c r="P149" s="125"/>
    </row>
    <row r="150" customFormat="false" ht="36" hidden="false" customHeight="true" outlineLevel="0" collapsed="false">
      <c r="A150" s="120"/>
      <c r="B150" s="121"/>
      <c r="C150" s="120"/>
      <c r="D150" s="120"/>
      <c r="E150" s="120"/>
      <c r="F150" s="120"/>
      <c r="G150" s="122"/>
      <c r="H150" s="122"/>
      <c r="I150" s="120"/>
      <c r="J150" s="123"/>
      <c r="K150" s="123"/>
      <c r="L150" s="124"/>
      <c r="M150" s="125"/>
      <c r="N150" s="124"/>
      <c r="O150" s="109"/>
      <c r="P150" s="125"/>
    </row>
    <row r="151" customFormat="false" ht="36" hidden="false" customHeight="true" outlineLevel="0" collapsed="false">
      <c r="A151" s="120"/>
      <c r="B151" s="121"/>
      <c r="C151" s="120"/>
      <c r="D151" s="120"/>
      <c r="E151" s="120"/>
      <c r="F151" s="120"/>
      <c r="G151" s="122"/>
      <c r="H151" s="122"/>
      <c r="I151" s="120"/>
      <c r="J151" s="123"/>
      <c r="K151" s="123"/>
      <c r="L151" s="124"/>
      <c r="M151" s="125"/>
      <c r="N151" s="124"/>
      <c r="O151" s="109"/>
      <c r="P151" s="125"/>
    </row>
    <row r="152" customFormat="false" ht="36" hidden="false" customHeight="true" outlineLevel="0" collapsed="false">
      <c r="A152" s="120"/>
      <c r="B152" s="121"/>
      <c r="C152" s="120"/>
      <c r="D152" s="120"/>
      <c r="E152" s="120"/>
      <c r="F152" s="120"/>
      <c r="G152" s="122"/>
      <c r="H152" s="122"/>
      <c r="I152" s="120"/>
      <c r="J152" s="123"/>
      <c r="K152" s="123"/>
      <c r="L152" s="124"/>
      <c r="M152" s="125"/>
      <c r="N152" s="124"/>
      <c r="O152" s="109"/>
      <c r="P152" s="125"/>
    </row>
    <row r="153" customFormat="false" ht="36" hidden="false" customHeight="true" outlineLevel="0" collapsed="false">
      <c r="A153" s="120"/>
      <c r="B153" s="121"/>
      <c r="C153" s="120"/>
      <c r="D153" s="120"/>
      <c r="E153" s="120"/>
      <c r="F153" s="120"/>
      <c r="G153" s="122"/>
      <c r="H153" s="122"/>
      <c r="I153" s="120"/>
      <c r="J153" s="123"/>
      <c r="K153" s="123"/>
      <c r="L153" s="124"/>
      <c r="M153" s="125"/>
      <c r="N153" s="124"/>
      <c r="O153" s="109"/>
      <c r="P153" s="125"/>
    </row>
    <row r="154" customFormat="false" ht="36" hidden="false" customHeight="true" outlineLevel="0" collapsed="false">
      <c r="A154" s="120"/>
      <c r="B154" s="121"/>
      <c r="C154" s="120"/>
      <c r="D154" s="120"/>
      <c r="E154" s="120"/>
      <c r="F154" s="120"/>
      <c r="G154" s="122"/>
      <c r="H154" s="122"/>
      <c r="I154" s="120"/>
      <c r="J154" s="123"/>
      <c r="K154" s="123"/>
      <c r="L154" s="124"/>
      <c r="M154" s="125"/>
      <c r="N154" s="124"/>
      <c r="O154" s="109"/>
      <c r="P154" s="125"/>
    </row>
    <row r="155" customFormat="false" ht="36" hidden="false" customHeight="true" outlineLevel="0" collapsed="false">
      <c r="A155" s="120"/>
      <c r="B155" s="121"/>
      <c r="C155" s="120"/>
      <c r="D155" s="120"/>
      <c r="E155" s="120"/>
      <c r="F155" s="120"/>
      <c r="G155" s="122"/>
      <c r="H155" s="122"/>
      <c r="I155" s="120"/>
      <c r="J155" s="123"/>
      <c r="K155" s="123"/>
      <c r="L155" s="124"/>
      <c r="M155" s="125"/>
      <c r="N155" s="124"/>
      <c r="O155" s="109"/>
      <c r="P155" s="125"/>
    </row>
    <row r="156" customFormat="false" ht="36" hidden="false" customHeight="true" outlineLevel="0" collapsed="false">
      <c r="A156" s="120"/>
      <c r="B156" s="121"/>
      <c r="C156" s="120"/>
      <c r="D156" s="120"/>
      <c r="E156" s="120"/>
      <c r="F156" s="120"/>
      <c r="G156" s="122"/>
      <c r="H156" s="122"/>
      <c r="I156" s="120"/>
      <c r="J156" s="123"/>
      <c r="K156" s="123"/>
      <c r="L156" s="124"/>
      <c r="M156" s="125"/>
      <c r="N156" s="124"/>
      <c r="O156" s="109"/>
      <c r="P156" s="125"/>
    </row>
    <row r="157" customFormat="false" ht="36" hidden="false" customHeight="true" outlineLevel="0" collapsed="false">
      <c r="A157" s="120"/>
      <c r="B157" s="121"/>
      <c r="C157" s="120"/>
      <c r="D157" s="120"/>
      <c r="E157" s="120"/>
      <c r="F157" s="120"/>
      <c r="G157" s="122"/>
      <c r="H157" s="122"/>
      <c r="I157" s="120"/>
      <c r="J157" s="123"/>
      <c r="K157" s="123"/>
      <c r="L157" s="124"/>
      <c r="M157" s="125"/>
      <c r="N157" s="124"/>
      <c r="O157" s="109"/>
      <c r="P157" s="125"/>
    </row>
    <row r="158" customFormat="false" ht="36" hidden="false" customHeight="true" outlineLevel="0" collapsed="false">
      <c r="A158" s="120"/>
      <c r="B158" s="121"/>
      <c r="C158" s="120"/>
      <c r="D158" s="120"/>
      <c r="E158" s="120"/>
      <c r="F158" s="120"/>
      <c r="G158" s="122"/>
      <c r="H158" s="122"/>
      <c r="I158" s="120"/>
      <c r="J158" s="123"/>
      <c r="K158" s="123"/>
      <c r="L158" s="124"/>
      <c r="M158" s="125"/>
      <c r="N158" s="124"/>
      <c r="O158" s="109"/>
      <c r="P158" s="125"/>
    </row>
    <row r="159" customFormat="false" ht="36" hidden="false" customHeight="true" outlineLevel="0" collapsed="false">
      <c r="A159" s="120"/>
      <c r="B159" s="121"/>
      <c r="C159" s="120"/>
      <c r="D159" s="120"/>
      <c r="E159" s="120"/>
      <c r="F159" s="120"/>
      <c r="G159" s="122"/>
      <c r="H159" s="122"/>
      <c r="I159" s="120"/>
      <c r="J159" s="123"/>
      <c r="K159" s="123"/>
      <c r="L159" s="124"/>
      <c r="M159" s="125"/>
      <c r="N159" s="124"/>
      <c r="O159" s="109"/>
      <c r="P159" s="125"/>
    </row>
    <row r="160" customFormat="false" ht="36" hidden="false" customHeight="true" outlineLevel="0" collapsed="false">
      <c r="A160" s="120"/>
      <c r="B160" s="121"/>
      <c r="C160" s="120"/>
      <c r="D160" s="120"/>
      <c r="E160" s="120"/>
      <c r="F160" s="120"/>
      <c r="G160" s="122"/>
      <c r="H160" s="122"/>
      <c r="I160" s="120"/>
      <c r="J160" s="123"/>
      <c r="K160" s="123"/>
      <c r="L160" s="124"/>
      <c r="M160" s="125"/>
      <c r="N160" s="124"/>
      <c r="O160" s="109"/>
      <c r="P160" s="125"/>
    </row>
    <row r="161" customFormat="false" ht="36" hidden="false" customHeight="true" outlineLevel="0" collapsed="false">
      <c r="A161" s="120"/>
      <c r="B161" s="121"/>
      <c r="C161" s="120"/>
      <c r="D161" s="120"/>
      <c r="E161" s="120"/>
      <c r="F161" s="120"/>
      <c r="G161" s="122"/>
      <c r="H161" s="122"/>
      <c r="I161" s="120"/>
      <c r="J161" s="123"/>
      <c r="K161" s="123"/>
      <c r="L161" s="124"/>
      <c r="M161" s="125"/>
      <c r="N161" s="124"/>
      <c r="O161" s="109"/>
      <c r="P161" s="125"/>
    </row>
    <row r="162" customFormat="false" ht="36" hidden="false" customHeight="true" outlineLevel="0" collapsed="false">
      <c r="A162" s="120"/>
      <c r="B162" s="121"/>
      <c r="C162" s="120"/>
      <c r="D162" s="120"/>
      <c r="E162" s="120"/>
      <c r="F162" s="120"/>
      <c r="G162" s="122"/>
      <c r="H162" s="122"/>
      <c r="I162" s="120"/>
      <c r="J162" s="123"/>
      <c r="K162" s="123"/>
      <c r="L162" s="124"/>
      <c r="M162" s="125"/>
      <c r="N162" s="124"/>
      <c r="O162" s="109"/>
      <c r="P162" s="125"/>
    </row>
    <row r="163" customFormat="false" ht="36" hidden="false" customHeight="true" outlineLevel="0" collapsed="false">
      <c r="A163" s="120"/>
      <c r="B163" s="121"/>
      <c r="C163" s="120"/>
      <c r="D163" s="120"/>
      <c r="E163" s="120"/>
      <c r="F163" s="120"/>
      <c r="G163" s="122"/>
      <c r="H163" s="122"/>
      <c r="I163" s="120"/>
      <c r="J163" s="123"/>
      <c r="K163" s="123"/>
      <c r="L163" s="124"/>
      <c r="M163" s="125"/>
      <c r="N163" s="124"/>
      <c r="O163" s="109"/>
      <c r="P163" s="125"/>
    </row>
    <row r="164" customFormat="false" ht="36" hidden="false" customHeight="true" outlineLevel="0" collapsed="false">
      <c r="A164" s="120"/>
      <c r="B164" s="121"/>
      <c r="C164" s="120"/>
      <c r="D164" s="120"/>
      <c r="E164" s="120"/>
      <c r="F164" s="120"/>
      <c r="G164" s="122"/>
      <c r="H164" s="122"/>
      <c r="I164" s="120"/>
      <c r="J164" s="123"/>
      <c r="K164" s="123"/>
      <c r="L164" s="124"/>
      <c r="M164" s="125"/>
      <c r="N164" s="124"/>
      <c r="O164" s="109"/>
      <c r="P164" s="125"/>
    </row>
    <row r="165" customFormat="false" ht="36" hidden="false" customHeight="true" outlineLevel="0" collapsed="false">
      <c r="A165" s="120"/>
      <c r="B165" s="121"/>
      <c r="C165" s="120"/>
      <c r="D165" s="120"/>
      <c r="E165" s="120"/>
      <c r="F165" s="120"/>
      <c r="G165" s="122"/>
      <c r="H165" s="122"/>
      <c r="I165" s="120"/>
      <c r="J165" s="123"/>
      <c r="K165" s="123"/>
      <c r="L165" s="124"/>
      <c r="M165" s="125"/>
      <c r="N165" s="124"/>
      <c r="O165" s="109"/>
      <c r="P165" s="125"/>
    </row>
    <row r="166" customFormat="false" ht="36" hidden="false" customHeight="true" outlineLevel="0" collapsed="false">
      <c r="A166" s="120"/>
      <c r="B166" s="121"/>
      <c r="C166" s="120"/>
      <c r="D166" s="120"/>
      <c r="E166" s="120"/>
      <c r="F166" s="120"/>
      <c r="G166" s="122"/>
      <c r="H166" s="122"/>
      <c r="I166" s="120"/>
      <c r="J166" s="123"/>
      <c r="K166" s="123"/>
      <c r="L166" s="124"/>
      <c r="M166" s="125"/>
      <c r="N166" s="124"/>
      <c r="O166" s="109"/>
      <c r="P166" s="125"/>
    </row>
    <row r="167" customFormat="false" ht="36" hidden="false" customHeight="true" outlineLevel="0" collapsed="false">
      <c r="A167" s="120"/>
      <c r="B167" s="121"/>
      <c r="C167" s="120"/>
      <c r="D167" s="120"/>
      <c r="E167" s="120"/>
      <c r="F167" s="120"/>
      <c r="G167" s="122"/>
      <c r="H167" s="122"/>
      <c r="I167" s="120"/>
      <c r="J167" s="123"/>
      <c r="K167" s="123"/>
      <c r="L167" s="124"/>
      <c r="M167" s="125"/>
      <c r="N167" s="124"/>
      <c r="O167" s="109"/>
      <c r="P167" s="125"/>
    </row>
    <row r="168" customFormat="false" ht="36" hidden="false" customHeight="true" outlineLevel="0" collapsed="false">
      <c r="A168" s="120"/>
      <c r="B168" s="121"/>
      <c r="C168" s="120"/>
      <c r="D168" s="120"/>
      <c r="E168" s="120"/>
      <c r="F168" s="120"/>
      <c r="G168" s="122"/>
      <c r="H168" s="122"/>
      <c r="I168" s="120"/>
      <c r="J168" s="123"/>
      <c r="K168" s="123"/>
      <c r="L168" s="124"/>
      <c r="M168" s="125"/>
      <c r="N168" s="124"/>
      <c r="O168" s="109"/>
      <c r="P168" s="125"/>
    </row>
    <row r="169" customFormat="false" ht="36" hidden="false" customHeight="true" outlineLevel="0" collapsed="false">
      <c r="A169" s="120"/>
      <c r="B169" s="121"/>
      <c r="C169" s="120"/>
      <c r="D169" s="120"/>
      <c r="E169" s="120"/>
      <c r="F169" s="120"/>
      <c r="G169" s="122"/>
      <c r="H169" s="122"/>
      <c r="I169" s="120"/>
      <c r="J169" s="123"/>
      <c r="K169" s="123"/>
      <c r="L169" s="124"/>
      <c r="M169" s="125"/>
      <c r="N169" s="124"/>
      <c r="O169" s="109"/>
      <c r="P169" s="125"/>
    </row>
    <row r="170" customFormat="false" ht="36" hidden="false" customHeight="true" outlineLevel="0" collapsed="false">
      <c r="A170" s="120"/>
      <c r="B170" s="121"/>
      <c r="C170" s="120"/>
      <c r="D170" s="120"/>
      <c r="E170" s="120"/>
      <c r="F170" s="120"/>
      <c r="G170" s="122"/>
      <c r="H170" s="122"/>
      <c r="I170" s="120"/>
      <c r="J170" s="123"/>
      <c r="K170" s="123"/>
      <c r="L170" s="124"/>
      <c r="M170" s="125"/>
      <c r="N170" s="124"/>
      <c r="O170" s="109"/>
      <c r="P170" s="125"/>
    </row>
    <row r="171" customFormat="false" ht="36" hidden="false" customHeight="true" outlineLevel="0" collapsed="false">
      <c r="A171" s="120"/>
      <c r="B171" s="121"/>
      <c r="C171" s="120"/>
      <c r="D171" s="120"/>
      <c r="E171" s="120"/>
      <c r="F171" s="120"/>
      <c r="G171" s="122"/>
      <c r="H171" s="122"/>
      <c r="I171" s="120"/>
      <c r="J171" s="123"/>
      <c r="K171" s="123"/>
      <c r="L171" s="124"/>
      <c r="M171" s="125"/>
      <c r="N171" s="124"/>
      <c r="O171" s="109"/>
      <c r="P171" s="125"/>
    </row>
    <row r="172" customFormat="false" ht="36" hidden="false" customHeight="true" outlineLevel="0" collapsed="false">
      <c r="A172" s="120"/>
      <c r="B172" s="121"/>
      <c r="C172" s="120"/>
      <c r="D172" s="120"/>
      <c r="E172" s="120"/>
      <c r="F172" s="120"/>
      <c r="G172" s="122"/>
      <c r="H172" s="122"/>
      <c r="I172" s="120"/>
      <c r="J172" s="123"/>
      <c r="K172" s="123"/>
      <c r="L172" s="124"/>
      <c r="M172" s="125"/>
      <c r="N172" s="124"/>
      <c r="O172" s="109"/>
      <c r="P172" s="125"/>
    </row>
    <row r="173" customFormat="false" ht="36" hidden="false" customHeight="true" outlineLevel="0" collapsed="false">
      <c r="A173" s="120"/>
      <c r="B173" s="121"/>
      <c r="C173" s="120"/>
      <c r="D173" s="120"/>
      <c r="E173" s="120"/>
      <c r="F173" s="120"/>
      <c r="G173" s="122"/>
      <c r="H173" s="122"/>
      <c r="I173" s="120"/>
      <c r="J173" s="123"/>
      <c r="K173" s="123"/>
      <c r="L173" s="124"/>
      <c r="M173" s="125"/>
      <c r="N173" s="124"/>
      <c r="O173" s="109"/>
      <c r="P173" s="125"/>
    </row>
    <row r="174" customFormat="false" ht="36" hidden="false" customHeight="true" outlineLevel="0" collapsed="false">
      <c r="A174" s="120"/>
      <c r="B174" s="121"/>
      <c r="C174" s="120"/>
      <c r="D174" s="120"/>
      <c r="E174" s="120"/>
      <c r="F174" s="120"/>
      <c r="G174" s="122"/>
      <c r="H174" s="122"/>
      <c r="I174" s="120"/>
      <c r="J174" s="123"/>
      <c r="K174" s="123"/>
      <c r="L174" s="124"/>
      <c r="M174" s="125"/>
      <c r="N174" s="124"/>
      <c r="O174" s="109"/>
      <c r="P174" s="125"/>
    </row>
    <row r="175" customFormat="false" ht="36" hidden="false" customHeight="true" outlineLevel="0" collapsed="false">
      <c r="A175" s="120"/>
      <c r="B175" s="121"/>
      <c r="C175" s="120"/>
      <c r="D175" s="120"/>
      <c r="E175" s="120"/>
      <c r="F175" s="120"/>
      <c r="G175" s="122"/>
      <c r="H175" s="122"/>
      <c r="I175" s="120"/>
      <c r="J175" s="123"/>
      <c r="K175" s="123"/>
      <c r="L175" s="124"/>
      <c r="M175" s="125"/>
      <c r="N175" s="124"/>
      <c r="O175" s="109"/>
      <c r="P175" s="125"/>
    </row>
    <row r="176" customFormat="false" ht="36" hidden="false" customHeight="true" outlineLevel="0" collapsed="false">
      <c r="A176" s="120"/>
      <c r="B176" s="121"/>
      <c r="C176" s="120"/>
      <c r="D176" s="120"/>
      <c r="E176" s="120"/>
      <c r="F176" s="120"/>
      <c r="G176" s="122"/>
      <c r="H176" s="122"/>
      <c r="I176" s="120"/>
      <c r="J176" s="123"/>
      <c r="K176" s="123"/>
      <c r="L176" s="124"/>
      <c r="M176" s="125"/>
      <c r="N176" s="124"/>
      <c r="O176" s="109"/>
      <c r="P176" s="125"/>
    </row>
    <row r="177" customFormat="false" ht="36" hidden="false" customHeight="true" outlineLevel="0" collapsed="false">
      <c r="A177" s="120"/>
      <c r="B177" s="121"/>
      <c r="C177" s="120"/>
      <c r="D177" s="120"/>
      <c r="E177" s="120"/>
      <c r="F177" s="120"/>
      <c r="G177" s="122"/>
      <c r="H177" s="122"/>
      <c r="I177" s="120"/>
      <c r="J177" s="123"/>
      <c r="K177" s="123"/>
      <c r="L177" s="124"/>
      <c r="M177" s="125"/>
      <c r="N177" s="124"/>
      <c r="O177" s="109"/>
      <c r="P177" s="125"/>
    </row>
    <row r="178" customFormat="false" ht="36" hidden="false" customHeight="true" outlineLevel="0" collapsed="false">
      <c r="A178" s="120"/>
      <c r="B178" s="121"/>
      <c r="C178" s="120"/>
      <c r="D178" s="120"/>
      <c r="E178" s="120"/>
      <c r="F178" s="120"/>
      <c r="G178" s="122"/>
      <c r="H178" s="122"/>
      <c r="I178" s="120"/>
      <c r="J178" s="123"/>
      <c r="K178" s="123"/>
      <c r="L178" s="124"/>
      <c r="M178" s="125"/>
      <c r="N178" s="124"/>
      <c r="O178" s="109"/>
      <c r="P178" s="125"/>
    </row>
    <row r="179" customFormat="false" ht="36" hidden="false" customHeight="true" outlineLevel="0" collapsed="false">
      <c r="A179" s="120"/>
      <c r="B179" s="121"/>
      <c r="C179" s="120"/>
      <c r="D179" s="120"/>
      <c r="E179" s="120"/>
      <c r="F179" s="120"/>
      <c r="G179" s="122"/>
      <c r="H179" s="122"/>
      <c r="I179" s="120"/>
      <c r="J179" s="123"/>
      <c r="K179" s="123"/>
      <c r="L179" s="124"/>
      <c r="M179" s="125"/>
      <c r="N179" s="124"/>
      <c r="O179" s="109"/>
      <c r="P179" s="125"/>
    </row>
    <row r="180" customFormat="false" ht="36" hidden="false" customHeight="true" outlineLevel="0" collapsed="false">
      <c r="A180" s="120"/>
      <c r="B180" s="121"/>
      <c r="C180" s="120"/>
      <c r="D180" s="120"/>
      <c r="E180" s="120"/>
      <c r="F180" s="120"/>
      <c r="G180" s="122"/>
      <c r="H180" s="122"/>
      <c r="I180" s="120"/>
      <c r="J180" s="123"/>
      <c r="K180" s="123"/>
      <c r="L180" s="124"/>
      <c r="M180" s="125"/>
      <c r="N180" s="124"/>
      <c r="O180" s="109"/>
      <c r="P180" s="125"/>
    </row>
    <row r="181" customFormat="false" ht="36" hidden="false" customHeight="true" outlineLevel="0" collapsed="false">
      <c r="A181" s="120"/>
      <c r="B181" s="121"/>
      <c r="C181" s="120"/>
      <c r="D181" s="120"/>
      <c r="E181" s="120"/>
      <c r="F181" s="120"/>
      <c r="G181" s="122"/>
      <c r="H181" s="122"/>
      <c r="I181" s="120"/>
      <c r="J181" s="123"/>
      <c r="K181" s="123"/>
      <c r="L181" s="124"/>
      <c r="M181" s="125"/>
      <c r="N181" s="124"/>
      <c r="O181" s="109"/>
      <c r="P181" s="125"/>
    </row>
    <row r="182" customFormat="false" ht="36" hidden="false" customHeight="true" outlineLevel="0" collapsed="false">
      <c r="A182" s="120"/>
      <c r="B182" s="121"/>
      <c r="C182" s="120"/>
      <c r="D182" s="120"/>
      <c r="E182" s="120"/>
      <c r="F182" s="120"/>
      <c r="G182" s="122"/>
      <c r="H182" s="122"/>
      <c r="I182" s="120"/>
      <c r="J182" s="123"/>
      <c r="K182" s="123"/>
      <c r="L182" s="124"/>
      <c r="M182" s="125"/>
      <c r="N182" s="124"/>
      <c r="O182" s="109"/>
      <c r="P182" s="125"/>
    </row>
    <row r="183" customFormat="false" ht="36" hidden="false" customHeight="true" outlineLevel="0" collapsed="false">
      <c r="A183" s="120"/>
      <c r="B183" s="121"/>
      <c r="C183" s="120"/>
      <c r="D183" s="120"/>
      <c r="E183" s="120"/>
      <c r="F183" s="120"/>
      <c r="G183" s="122"/>
      <c r="H183" s="122"/>
      <c r="I183" s="120"/>
      <c r="J183" s="123"/>
      <c r="K183" s="123"/>
      <c r="L183" s="124"/>
      <c r="M183" s="125"/>
      <c r="N183" s="124"/>
      <c r="O183" s="109"/>
      <c r="P183" s="125"/>
    </row>
    <row r="184" customFormat="false" ht="36" hidden="false" customHeight="true" outlineLevel="0" collapsed="false">
      <c r="A184" s="120"/>
      <c r="B184" s="121"/>
      <c r="C184" s="120"/>
      <c r="D184" s="120"/>
      <c r="E184" s="120"/>
      <c r="F184" s="120"/>
      <c r="G184" s="122"/>
      <c r="H184" s="122"/>
      <c r="I184" s="120"/>
      <c r="J184" s="123"/>
      <c r="K184" s="123"/>
      <c r="L184" s="124"/>
      <c r="M184" s="125"/>
      <c r="N184" s="124"/>
      <c r="O184" s="109"/>
      <c r="P184" s="125"/>
    </row>
    <row r="185" customFormat="false" ht="36" hidden="false" customHeight="true" outlineLevel="0" collapsed="false">
      <c r="A185" s="120"/>
      <c r="B185" s="121"/>
      <c r="C185" s="120"/>
      <c r="D185" s="120"/>
      <c r="E185" s="120"/>
      <c r="F185" s="120"/>
      <c r="G185" s="122"/>
      <c r="H185" s="122"/>
      <c r="I185" s="120"/>
      <c r="J185" s="123"/>
      <c r="K185" s="123"/>
      <c r="L185" s="124"/>
      <c r="M185" s="125"/>
      <c r="N185" s="124"/>
      <c r="O185" s="109"/>
      <c r="P185" s="125"/>
    </row>
    <row r="186" customFormat="false" ht="36" hidden="false" customHeight="true" outlineLevel="0" collapsed="false">
      <c r="A186" s="120"/>
      <c r="B186" s="121"/>
      <c r="C186" s="120"/>
      <c r="D186" s="120"/>
      <c r="E186" s="120"/>
      <c r="F186" s="120"/>
      <c r="G186" s="122"/>
      <c r="H186" s="122"/>
      <c r="I186" s="120"/>
      <c r="J186" s="123"/>
      <c r="K186" s="123"/>
      <c r="L186" s="124"/>
      <c r="M186" s="125"/>
      <c r="N186" s="124"/>
      <c r="O186" s="109"/>
      <c r="P186" s="125"/>
    </row>
    <row r="187" customFormat="false" ht="36" hidden="false" customHeight="true" outlineLevel="0" collapsed="false">
      <c r="A187" s="120"/>
      <c r="B187" s="121"/>
      <c r="C187" s="120"/>
      <c r="D187" s="120"/>
      <c r="E187" s="120"/>
      <c r="F187" s="120"/>
      <c r="G187" s="122"/>
      <c r="H187" s="122"/>
      <c r="I187" s="120"/>
      <c r="J187" s="123"/>
      <c r="K187" s="123"/>
      <c r="L187" s="124"/>
      <c r="M187" s="125"/>
      <c r="N187" s="124"/>
      <c r="O187" s="109"/>
      <c r="P187" s="125"/>
    </row>
    <row r="188" customFormat="false" ht="36" hidden="false" customHeight="true" outlineLevel="0" collapsed="false">
      <c r="A188" s="120"/>
      <c r="B188" s="121"/>
      <c r="C188" s="120"/>
      <c r="D188" s="120"/>
      <c r="E188" s="120"/>
      <c r="F188" s="120"/>
      <c r="G188" s="122"/>
      <c r="H188" s="122"/>
      <c r="I188" s="120"/>
      <c r="J188" s="123"/>
      <c r="K188" s="123"/>
      <c r="L188" s="124"/>
      <c r="M188" s="125"/>
      <c r="N188" s="124"/>
      <c r="O188" s="109"/>
      <c r="P188" s="125"/>
    </row>
    <row r="189" customFormat="false" ht="36" hidden="false" customHeight="true" outlineLevel="0" collapsed="false">
      <c r="A189" s="120"/>
      <c r="B189" s="121"/>
      <c r="C189" s="120"/>
      <c r="D189" s="120"/>
      <c r="E189" s="120"/>
      <c r="F189" s="120"/>
      <c r="G189" s="122"/>
      <c r="H189" s="122"/>
      <c r="I189" s="120"/>
      <c r="J189" s="123"/>
      <c r="K189" s="123"/>
      <c r="L189" s="124"/>
      <c r="M189" s="125"/>
      <c r="N189" s="124"/>
      <c r="O189" s="109"/>
      <c r="P189" s="125"/>
    </row>
    <row r="190" customFormat="false" ht="36" hidden="false" customHeight="true" outlineLevel="0" collapsed="false">
      <c r="A190" s="120"/>
      <c r="B190" s="121"/>
      <c r="C190" s="120"/>
      <c r="D190" s="120"/>
      <c r="E190" s="120"/>
      <c r="F190" s="120"/>
      <c r="G190" s="122"/>
      <c r="H190" s="122"/>
      <c r="I190" s="120"/>
      <c r="J190" s="123"/>
      <c r="K190" s="123"/>
      <c r="L190" s="124"/>
      <c r="M190" s="125"/>
      <c r="N190" s="124"/>
      <c r="O190" s="109"/>
      <c r="P190" s="125"/>
    </row>
    <row r="191" customFormat="false" ht="36" hidden="false" customHeight="true" outlineLevel="0" collapsed="false">
      <c r="A191" s="120"/>
      <c r="B191" s="121"/>
      <c r="C191" s="120"/>
      <c r="D191" s="120"/>
      <c r="E191" s="120"/>
      <c r="F191" s="120"/>
      <c r="G191" s="122"/>
      <c r="H191" s="122"/>
      <c r="I191" s="120"/>
      <c r="J191" s="123"/>
      <c r="K191" s="123"/>
      <c r="L191" s="124"/>
      <c r="M191" s="125"/>
      <c r="N191" s="124"/>
      <c r="O191" s="109"/>
      <c r="P191" s="125"/>
    </row>
    <row r="192" customFormat="false" ht="36" hidden="false" customHeight="true" outlineLevel="0" collapsed="false">
      <c r="A192" s="120"/>
      <c r="B192" s="121"/>
      <c r="C192" s="120"/>
      <c r="D192" s="120"/>
      <c r="E192" s="120"/>
      <c r="F192" s="120"/>
      <c r="G192" s="122"/>
      <c r="H192" s="122"/>
      <c r="I192" s="120"/>
      <c r="J192" s="123"/>
      <c r="K192" s="123"/>
      <c r="L192" s="124"/>
      <c r="M192" s="125"/>
      <c r="N192" s="124"/>
      <c r="O192" s="109"/>
      <c r="P192" s="125"/>
    </row>
    <row r="193" customFormat="false" ht="36" hidden="false" customHeight="true" outlineLevel="0" collapsed="false">
      <c r="A193" s="120"/>
      <c r="B193" s="121"/>
      <c r="C193" s="120"/>
      <c r="D193" s="120"/>
      <c r="E193" s="120"/>
      <c r="F193" s="120"/>
      <c r="G193" s="122"/>
      <c r="H193" s="122"/>
      <c r="I193" s="120"/>
      <c r="J193" s="123"/>
      <c r="K193" s="123"/>
      <c r="L193" s="124"/>
      <c r="M193" s="125"/>
      <c r="N193" s="124"/>
      <c r="O193" s="109"/>
      <c r="P193" s="125"/>
    </row>
    <row r="194" customFormat="false" ht="36" hidden="false" customHeight="true" outlineLevel="0" collapsed="false">
      <c r="A194" s="120"/>
      <c r="B194" s="121"/>
      <c r="C194" s="120"/>
      <c r="D194" s="120"/>
      <c r="E194" s="120"/>
      <c r="F194" s="120"/>
      <c r="G194" s="122"/>
      <c r="H194" s="122"/>
      <c r="I194" s="120"/>
      <c r="J194" s="123"/>
      <c r="K194" s="123"/>
      <c r="L194" s="124"/>
      <c r="M194" s="125"/>
      <c r="N194" s="124"/>
      <c r="O194" s="109"/>
      <c r="P194" s="125"/>
    </row>
    <row r="195" customFormat="false" ht="36" hidden="false" customHeight="true" outlineLevel="0" collapsed="false">
      <c r="A195" s="120"/>
      <c r="B195" s="121"/>
      <c r="C195" s="120"/>
      <c r="D195" s="120"/>
      <c r="E195" s="120"/>
      <c r="F195" s="120"/>
      <c r="G195" s="122"/>
      <c r="H195" s="122"/>
      <c r="I195" s="120"/>
      <c r="J195" s="123"/>
      <c r="K195" s="123"/>
      <c r="L195" s="124"/>
      <c r="M195" s="125"/>
      <c r="N195" s="124"/>
      <c r="O195" s="109"/>
      <c r="P195" s="125"/>
    </row>
    <row r="196" customFormat="false" ht="36" hidden="false" customHeight="true" outlineLevel="0" collapsed="false">
      <c r="A196" s="120"/>
      <c r="B196" s="121"/>
      <c r="C196" s="120"/>
      <c r="D196" s="120"/>
      <c r="E196" s="120"/>
      <c r="F196" s="120"/>
      <c r="G196" s="122"/>
      <c r="H196" s="122"/>
      <c r="I196" s="120"/>
      <c r="J196" s="123"/>
      <c r="K196" s="123"/>
      <c r="L196" s="124"/>
      <c r="M196" s="125"/>
      <c r="N196" s="124"/>
      <c r="O196" s="109"/>
      <c r="P196" s="125"/>
    </row>
    <row r="197" customFormat="false" ht="36" hidden="false" customHeight="true" outlineLevel="0" collapsed="false">
      <c r="A197" s="120"/>
      <c r="B197" s="121"/>
      <c r="C197" s="120"/>
      <c r="D197" s="120"/>
      <c r="E197" s="120"/>
      <c r="F197" s="120"/>
      <c r="G197" s="122"/>
      <c r="H197" s="122"/>
      <c r="I197" s="120"/>
      <c r="J197" s="123"/>
      <c r="K197" s="123"/>
      <c r="L197" s="124"/>
      <c r="M197" s="125"/>
      <c r="N197" s="124"/>
      <c r="O197" s="109"/>
      <c r="P197" s="125"/>
    </row>
    <row r="198" customFormat="false" ht="36" hidden="false" customHeight="true" outlineLevel="0" collapsed="false">
      <c r="A198" s="120"/>
      <c r="B198" s="121"/>
      <c r="C198" s="120"/>
      <c r="D198" s="120"/>
      <c r="E198" s="120"/>
      <c r="F198" s="120"/>
      <c r="G198" s="122"/>
      <c r="H198" s="122"/>
      <c r="I198" s="120"/>
      <c r="J198" s="123"/>
      <c r="K198" s="123"/>
      <c r="L198" s="124"/>
      <c r="M198" s="125"/>
      <c r="N198" s="124"/>
      <c r="O198" s="109"/>
      <c r="P198" s="125"/>
    </row>
    <row r="199" customFormat="false" ht="36" hidden="false" customHeight="true" outlineLevel="0" collapsed="false">
      <c r="A199" s="120"/>
      <c r="B199" s="121"/>
      <c r="C199" s="120"/>
      <c r="D199" s="120"/>
      <c r="E199" s="120"/>
      <c r="F199" s="120"/>
      <c r="G199" s="122"/>
      <c r="H199" s="122"/>
      <c r="I199" s="120"/>
      <c r="J199" s="123"/>
      <c r="K199" s="123"/>
      <c r="L199" s="124"/>
      <c r="M199" s="125"/>
      <c r="N199" s="124"/>
      <c r="O199" s="109"/>
      <c r="P199" s="125"/>
    </row>
    <row r="200" customFormat="false" ht="36" hidden="false" customHeight="true" outlineLevel="0" collapsed="false">
      <c r="A200" s="120"/>
      <c r="B200" s="121"/>
      <c r="C200" s="120"/>
      <c r="D200" s="120"/>
      <c r="E200" s="120"/>
      <c r="F200" s="120"/>
      <c r="G200" s="122"/>
      <c r="H200" s="122"/>
      <c r="I200" s="120"/>
      <c r="J200" s="123"/>
      <c r="K200" s="123"/>
      <c r="L200" s="124"/>
      <c r="M200" s="125"/>
      <c r="N200" s="124"/>
      <c r="O200" s="109"/>
      <c r="P200" s="125"/>
    </row>
    <row r="201" customFormat="false" ht="36" hidden="false" customHeight="true" outlineLevel="0" collapsed="false">
      <c r="A201" s="120"/>
      <c r="B201" s="121"/>
      <c r="C201" s="120"/>
      <c r="D201" s="120"/>
      <c r="E201" s="120"/>
      <c r="F201" s="120"/>
      <c r="G201" s="122"/>
      <c r="H201" s="122"/>
      <c r="I201" s="120"/>
      <c r="J201" s="123"/>
      <c r="K201" s="123"/>
      <c r="L201" s="124"/>
      <c r="M201" s="125"/>
      <c r="N201" s="124"/>
      <c r="O201" s="109"/>
      <c r="P201" s="125"/>
    </row>
    <row r="202" customFormat="false" ht="36" hidden="false" customHeight="true" outlineLevel="0" collapsed="false">
      <c r="A202" s="120"/>
      <c r="B202" s="121"/>
      <c r="C202" s="120"/>
      <c r="D202" s="120"/>
      <c r="E202" s="120"/>
      <c r="F202" s="120"/>
      <c r="G202" s="122"/>
      <c r="H202" s="122"/>
      <c r="I202" s="120"/>
      <c r="J202" s="123"/>
      <c r="K202" s="123"/>
      <c r="L202" s="124"/>
      <c r="M202" s="125"/>
      <c r="N202" s="124"/>
      <c r="O202" s="109"/>
      <c r="P202" s="125"/>
    </row>
    <row r="203" customFormat="false" ht="36" hidden="false" customHeight="true" outlineLevel="0" collapsed="false">
      <c r="A203" s="120"/>
      <c r="B203" s="121"/>
      <c r="C203" s="120"/>
      <c r="D203" s="120"/>
      <c r="E203" s="120"/>
      <c r="F203" s="120"/>
      <c r="G203" s="122"/>
      <c r="H203" s="122"/>
      <c r="I203" s="120"/>
      <c r="J203" s="123"/>
      <c r="K203" s="123"/>
      <c r="L203" s="124"/>
      <c r="M203" s="125"/>
      <c r="N203" s="124"/>
      <c r="O203" s="109"/>
      <c r="P203" s="125"/>
    </row>
    <row r="204" customFormat="false" ht="36" hidden="false" customHeight="true" outlineLevel="0" collapsed="false">
      <c r="A204" s="120"/>
      <c r="B204" s="121"/>
      <c r="C204" s="120"/>
      <c r="D204" s="120"/>
      <c r="E204" s="120"/>
      <c r="F204" s="120"/>
      <c r="G204" s="122"/>
      <c r="H204" s="122"/>
      <c r="I204" s="120"/>
      <c r="J204" s="123"/>
      <c r="K204" s="123"/>
      <c r="L204" s="124"/>
      <c r="M204" s="125"/>
      <c r="N204" s="124"/>
      <c r="O204" s="109"/>
      <c r="P204" s="125"/>
    </row>
  </sheetData>
  <mergeCells count="3">
    <mergeCell ref="A1:P1"/>
    <mergeCell ref="A2:P2"/>
    <mergeCell ref="A3:K3"/>
  </mergeCells>
  <conditionalFormatting sqref="B5:B204">
    <cfRule type="cellIs" priority="2" operator="greaterThanOrEqual" aboveAverage="0" equalAverage="0" bottom="0" percent="0" rank="0" text="" dxfId="16">
      <formula>75</formula>
    </cfRule>
    <cfRule type="cellIs" priority="3" operator="between" aboveAverage="0" equalAverage="0" bottom="0" percent="0" rank="0" text="" dxfId="17">
      <formula>60</formula>
      <formula>74</formula>
    </cfRule>
    <cfRule type="cellIs" priority="4" operator="lessThan" aboveAverage="0" equalAverage="0" bottom="0" percent="0" rank="0" text="" dxfId="18">
      <formula>60</formula>
    </cfRule>
  </conditionalFormatting>
  <dataValidations count="4">
    <dataValidation allowBlank="true" errorStyle="stop" operator="between" showDropDown="false" showErrorMessage="false" showInputMessage="false" sqref="I5:I204" type="list">
      <formula1>"Regret-Resistant,Oversized Risk,Under-Deployed,Neutral"</formula1>
      <formula2>0</formula2>
    </dataValidation>
    <dataValidation allowBlank="true" errorStyle="stop" operator="between" showDropDown="false" showErrorMessage="false" showInputMessage="false" sqref="C5:C204" type="list">
      <formula1>Lists!$B$38:$B$47</formula1>
      <formula2>0</formula2>
    </dataValidation>
    <dataValidation allowBlank="true" errorStyle="stop" operator="between" showDropDown="false" showErrorMessage="false" showInputMessage="false" sqref="E5:E204" type="list">
      <formula1>Lists!$B$48:$B$52</formula1>
      <formula2>0</formula2>
    </dataValidation>
    <dataValidation allowBlank="true" errorStyle="stop" operator="between" showDropDown="false" showErrorMessage="false" showInputMessage="false" sqref="F5:F204" type="list">
      <formula1>Lists!$B$53:$B$55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6" min="2" style="1" width="18"/>
  </cols>
  <sheetData>
    <row r="1" customFormat="false" ht="18" hidden="false" customHeight="true" outlineLevel="0" collapsed="false">
      <c r="A1" s="126" t="s">
        <v>348</v>
      </c>
    </row>
    <row r="2" customFormat="false" ht="14.25" hidden="false" customHeight="true" outlineLevel="0" collapsed="false">
      <c r="A2" s="127" t="s">
        <v>349</v>
      </c>
    </row>
    <row r="5" customFormat="false" ht="14.25" hidden="false" customHeight="true" outlineLevel="0" collapsed="false">
      <c r="A5" s="128" t="s">
        <v>350</v>
      </c>
      <c r="B5" s="128" t="s">
        <v>351</v>
      </c>
      <c r="C5" s="128" t="s">
        <v>352</v>
      </c>
      <c r="D5" s="128" t="s">
        <v>78</v>
      </c>
      <c r="E5" s="128" t="s">
        <v>353</v>
      </c>
      <c r="F5" s="128" t="s">
        <v>354</v>
      </c>
    </row>
    <row r="6" customFormat="false" ht="14.25" hidden="false" customHeight="true" outlineLevel="0" collapsed="false">
      <c r="A6" s="129" t="s">
        <v>355</v>
      </c>
      <c r="B6" s="130" t="n">
        <f aca="false">SUMIFS(CashFlows!$E$6:$E$309,CashFlows!$A$6:$A$309,"&gt;="&amp;DATE(VALUE(MID($A6,4,4)),(VALUE(MID($A6,2,1))-1)*3+1,1),CashFlows!$A$6:$A$309,"&lt;="&amp;DATE(VALUE(MID($A6,4,4)),VALUE(MID($A6,2,1))*3+1,0),CashFlows!$G$6:$G$309,"Initial")</f>
        <v>-160000</v>
      </c>
      <c r="C6" s="130" t="n">
        <f aca="false">SUMIFS(CashFlows!$E$6:$E$309,CashFlows!$A$6:$A$309,"&gt;="&amp;DATE(VALUE(MID($A6,4,4)),(VALUE(MID($A6,2,1))-1)*3+1,1),CashFlows!$A$6:$A$309,"&lt;="&amp;DATE(VALUE(MID($A6,4,4)),VALUE(MID($A6,2,1))*3+1,0),CashFlows!$G$6:$G$309,"Ongoing")</f>
        <v>0</v>
      </c>
      <c r="D6" s="130" t="n">
        <f aca="false">SUMIFS(CashFlows!$E$6:$E$309,CashFlows!$A$6:$A$309,"&gt;="&amp;DATE(VALUE(MID($A6,4,4)),(VALUE(MID($A6,2,1))-1)*3+1,1),CashFlows!$A$6:$A$309,"&lt;="&amp;DATE(VALUE(MID($A6,4,4)),VALUE(MID($A6,2,1))*3+1,0),CashFlows!$D$6:$D$309,"&lt;&gt;Capital Call",CashFlows!$D$6:$D$309,"&lt;&gt;")</f>
        <v>0</v>
      </c>
      <c r="E6" s="130" t="n">
        <f aca="false">B6+C6+D6</f>
        <v>-160000</v>
      </c>
      <c r="F6" s="130" t="n">
        <f aca="false">E6</f>
        <v>-160000</v>
      </c>
    </row>
    <row r="7" customFormat="false" ht="14.25" hidden="false" customHeight="true" outlineLevel="0" collapsed="false">
      <c r="A7" s="129" t="s">
        <v>356</v>
      </c>
      <c r="B7" s="130" t="n">
        <f aca="false">SUMIFS(CashFlows!$E$6:$E$309,CashFlows!$A$6:$A$309,"&gt;="&amp;DATE(VALUE(MID($A7,4,4)),(VALUE(MID($A7,2,1))-1)*3+1,1),CashFlows!$A$6:$A$309,"&lt;="&amp;DATE(VALUE(MID($A7,4,4)),VALUE(MID($A7,2,1))*3+1,0),CashFlows!$G$6:$G$309,"Initial")</f>
        <v>-15000</v>
      </c>
      <c r="C7" s="130" t="n">
        <f aca="false">SUMIFS(CashFlows!$E$6:$E$309,CashFlows!$A$6:$A$309,"&gt;="&amp;DATE(VALUE(MID($A7,4,4)),(VALUE(MID($A7,2,1))-1)*3+1,1),CashFlows!$A$6:$A$309,"&lt;="&amp;DATE(VALUE(MID($A7,4,4)),VALUE(MID($A7,2,1))*3+1,0),CashFlows!$G$6:$G$309,"Ongoing")</f>
        <v>0</v>
      </c>
      <c r="D7" s="130" t="n">
        <f aca="false">SUMIFS(CashFlows!$E$6:$E$309,CashFlows!$A$6:$A$309,"&gt;="&amp;DATE(VALUE(MID($A7,4,4)),(VALUE(MID($A7,2,1))-1)*3+1,1),CashFlows!$A$6:$A$309,"&lt;="&amp;DATE(VALUE(MID($A7,4,4)),VALUE(MID($A7,2,1))*3+1,0),CashFlows!$D$6:$D$309,"&lt;&gt;Capital Call",CashFlows!$D$6:$D$309,"&lt;&gt;")</f>
        <v>0</v>
      </c>
      <c r="E7" s="130" t="n">
        <f aca="false">B7+C7+D7</f>
        <v>-15000</v>
      </c>
      <c r="F7" s="130" t="n">
        <f aca="false">F6+E7</f>
        <v>-175000</v>
      </c>
    </row>
    <row r="8" customFormat="false" ht="14.25" hidden="false" customHeight="true" outlineLevel="0" collapsed="false">
      <c r="A8" s="129" t="s">
        <v>357</v>
      </c>
      <c r="B8" s="130" t="n">
        <f aca="false">SUMIFS(CashFlows!$E$6:$E$309,CashFlows!$A$6:$A$309,"&gt;="&amp;DATE(VALUE(MID($A8,4,4)),(VALUE(MID($A8,2,1))-1)*3+1,1),CashFlows!$A$6:$A$309,"&lt;="&amp;DATE(VALUE(MID($A8,4,4)),VALUE(MID($A8,2,1))*3+1,0),CashFlows!$G$6:$G$309,"Initial")</f>
        <v>-100000</v>
      </c>
      <c r="C8" s="130" t="n">
        <f aca="false">SUMIFS(CashFlows!$E$6:$E$309,CashFlows!$A$6:$A$309,"&gt;="&amp;DATE(VALUE(MID($A8,4,4)),(VALUE(MID($A8,2,1))-1)*3+1,1),CashFlows!$A$6:$A$309,"&lt;="&amp;DATE(VALUE(MID($A8,4,4)),VALUE(MID($A8,2,1))*3+1,0),CashFlows!$G$6:$G$309,"Ongoing")</f>
        <v>0</v>
      </c>
      <c r="D8" s="130" t="n">
        <f aca="false">SUMIFS(CashFlows!$E$6:$E$309,CashFlows!$A$6:$A$309,"&gt;="&amp;DATE(VALUE(MID($A8,4,4)),(VALUE(MID($A8,2,1))-1)*3+1,1),CashFlows!$A$6:$A$309,"&lt;="&amp;DATE(VALUE(MID($A8,4,4)),VALUE(MID($A8,2,1))*3+1,0),CashFlows!$D$6:$D$309,"&lt;&gt;Capital Call",CashFlows!$D$6:$D$309,"&lt;&gt;")</f>
        <v>0</v>
      </c>
      <c r="E8" s="130" t="n">
        <f aca="false">B8+C8+D8</f>
        <v>-100000</v>
      </c>
      <c r="F8" s="130" t="n">
        <f aca="false">F7+E8</f>
        <v>-275000</v>
      </c>
    </row>
    <row r="9" customFormat="false" ht="14.25" hidden="false" customHeight="true" outlineLevel="0" collapsed="false">
      <c r="A9" s="129" t="s">
        <v>358</v>
      </c>
      <c r="B9" s="130" t="n">
        <f aca="false">SUMIFS(CashFlows!$E$6:$E$309,CashFlows!$A$6:$A$309,"&gt;="&amp;DATE(VALUE(MID($A9,4,4)),(VALUE(MID($A9,2,1))-1)*3+1,1),CashFlows!$A$6:$A$309,"&lt;="&amp;DATE(VALUE(MID($A9,4,4)),VALUE(MID($A9,2,1))*3+1,0),CashFlows!$G$6:$G$309,"Initial")</f>
        <v>-45000</v>
      </c>
      <c r="C9" s="130" t="n">
        <f aca="false">SUMIFS(CashFlows!$E$6:$E$309,CashFlows!$A$6:$A$309,"&gt;="&amp;DATE(VALUE(MID($A9,4,4)),(VALUE(MID($A9,2,1))-1)*3+1,1),CashFlows!$A$6:$A$309,"&lt;="&amp;DATE(VALUE(MID($A9,4,4)),VALUE(MID($A9,2,1))*3+1,0),CashFlows!$G$6:$G$309,"Ongoing")</f>
        <v>-12500</v>
      </c>
      <c r="D9" s="130" t="n">
        <f aca="false">SUMIFS(CashFlows!$E$6:$E$309,CashFlows!$A$6:$A$309,"&gt;="&amp;DATE(VALUE(MID($A9,4,4)),(VALUE(MID($A9,2,1))-1)*3+1,1),CashFlows!$A$6:$A$309,"&lt;="&amp;DATE(VALUE(MID($A9,4,4)),VALUE(MID($A9,2,1))*3+1,0),CashFlows!$D$6:$D$309,"&lt;&gt;Capital Call",CashFlows!$D$6:$D$309,"&lt;&gt;")</f>
        <v>750</v>
      </c>
      <c r="E9" s="130" t="n">
        <f aca="false">B9+C9+D9</f>
        <v>-56750</v>
      </c>
      <c r="F9" s="130" t="n">
        <f aca="false">F8+E9</f>
        <v>-331750</v>
      </c>
    </row>
    <row r="10" customFormat="false" ht="14.25" hidden="false" customHeight="true" outlineLevel="0" collapsed="false">
      <c r="A10" s="129" t="s">
        <v>359</v>
      </c>
      <c r="B10" s="130" t="n">
        <f aca="false">SUMIFS(CashFlows!$E$6:$E$309,CashFlows!$A$6:$A$309,"&gt;="&amp;DATE(VALUE(MID($A10,4,4)),(VALUE(MID($A10,2,1))-1)*3+1,1),CashFlows!$A$6:$A$309,"&lt;="&amp;DATE(VALUE(MID($A10,4,4)),VALUE(MID($A10,2,1))*3+1,0),CashFlows!$G$6:$G$309,"Initial")</f>
        <v>-20000</v>
      </c>
      <c r="C10" s="130" t="n">
        <f aca="false">SUMIFS(CashFlows!$E$6:$E$309,CashFlows!$A$6:$A$309,"&gt;="&amp;DATE(VALUE(MID($A10,4,4)),(VALUE(MID($A10,2,1))-1)*3+1,1),CashFlows!$A$6:$A$309,"&lt;="&amp;DATE(VALUE(MID($A10,4,4)),VALUE(MID($A10,2,1))*3+1,0),CashFlows!$G$6:$G$309,"Ongoing")</f>
        <v>-22500</v>
      </c>
      <c r="D10" s="130" t="n">
        <f aca="false">SUMIFS(CashFlows!$E$6:$E$309,CashFlows!$A$6:$A$309,"&gt;="&amp;DATE(VALUE(MID($A10,4,4)),(VALUE(MID($A10,2,1))-1)*3+1,1),CashFlows!$A$6:$A$309,"&lt;="&amp;DATE(VALUE(MID($A10,4,4)),VALUE(MID($A10,2,1))*3+1,0),CashFlows!$D$6:$D$309,"&lt;&gt;Capital Call",CashFlows!$D$6:$D$309,"&lt;&gt;")</f>
        <v>8250</v>
      </c>
      <c r="E10" s="130" t="n">
        <f aca="false">B10+C10+D10</f>
        <v>-34250</v>
      </c>
      <c r="F10" s="130" t="n">
        <f aca="false">F9+E10</f>
        <v>-366000</v>
      </c>
    </row>
    <row r="11" customFormat="false" ht="14.25" hidden="false" customHeight="true" outlineLevel="0" collapsed="false">
      <c r="A11" s="129" t="s">
        <v>360</v>
      </c>
      <c r="B11" s="130" t="n">
        <f aca="false">SUMIFS(CashFlows!$E$6:$E$309,CashFlows!$A$6:$A$309,"&gt;="&amp;DATE(VALUE(MID($A11,4,4)),(VALUE(MID($A11,2,1))-1)*3+1,1),CashFlows!$A$6:$A$309,"&lt;="&amp;DATE(VALUE(MID($A11,4,4)),VALUE(MID($A11,2,1))*3+1,0),CashFlows!$G$6:$G$309,"Initial")</f>
        <v>0</v>
      </c>
      <c r="C11" s="130" t="n">
        <f aca="false">SUMIFS(CashFlows!$E$6:$E$309,CashFlows!$A$6:$A$309,"&gt;="&amp;DATE(VALUE(MID($A11,4,4)),(VALUE(MID($A11,2,1))-1)*3+1,1),CashFlows!$A$6:$A$309,"&lt;="&amp;DATE(VALUE(MID($A11,4,4)),VALUE(MID($A11,2,1))*3+1,0),CashFlows!$G$6:$G$309,"Ongoing")</f>
        <v>-22500</v>
      </c>
      <c r="D11" s="130" t="n">
        <f aca="false">SUMIFS(CashFlows!$E$6:$E$309,CashFlows!$A$6:$A$309,"&gt;="&amp;DATE(VALUE(MID($A11,4,4)),(VALUE(MID($A11,2,1))-1)*3+1,1),CashFlows!$A$6:$A$309,"&lt;="&amp;DATE(VALUE(MID($A11,4,4)),VALUE(MID($A11,2,1))*3+1,0),CashFlows!$D$6:$D$309,"&lt;&gt;Capital Call",CashFlows!$D$6:$D$309,"&lt;&gt;")</f>
        <v>750</v>
      </c>
      <c r="E11" s="130" t="n">
        <f aca="false">B11+C11+D11</f>
        <v>-21750</v>
      </c>
      <c r="F11" s="130" t="n">
        <f aca="false">F10+E11</f>
        <v>-387750</v>
      </c>
    </row>
    <row r="12" customFormat="false" ht="14.25" hidden="false" customHeight="true" outlineLevel="0" collapsed="false">
      <c r="A12" s="129" t="s">
        <v>361</v>
      </c>
      <c r="B12" s="130" t="n">
        <f aca="false">SUMIFS(CashFlows!$E$6:$E$309,CashFlows!$A$6:$A$309,"&gt;="&amp;DATE(VALUE(MID($A12,4,4)),(VALUE(MID($A12,2,1))-1)*3+1,1),CashFlows!$A$6:$A$309,"&lt;="&amp;DATE(VALUE(MID($A12,4,4)),VALUE(MID($A12,2,1))*3+1,0),CashFlows!$G$6:$G$309,"Initial")</f>
        <v>0</v>
      </c>
      <c r="C12" s="130" t="n">
        <f aca="false">SUMIFS(CashFlows!$E$6:$E$309,CashFlows!$A$6:$A$309,"&gt;="&amp;DATE(VALUE(MID($A12,4,4)),(VALUE(MID($A12,2,1))-1)*3+1,1),CashFlows!$A$6:$A$309,"&lt;="&amp;DATE(VALUE(MID($A12,4,4)),VALUE(MID($A12,2,1))*3+1,0),CashFlows!$G$6:$G$309,"Ongoing")</f>
        <v>-22500</v>
      </c>
      <c r="D12" s="130" t="n">
        <f aca="false">SUMIFS(CashFlows!$E$6:$E$309,CashFlows!$A$6:$A$309,"&gt;="&amp;DATE(VALUE(MID($A12,4,4)),(VALUE(MID($A12,2,1))-1)*3+1,1),CashFlows!$A$6:$A$309,"&lt;="&amp;DATE(VALUE(MID($A12,4,4)),VALUE(MID($A12,2,1))*3+1,0),CashFlows!$D$6:$D$309,"&lt;&gt;Capital Call",CashFlows!$D$6:$D$309,"&lt;&gt;")</f>
        <v>9000</v>
      </c>
      <c r="E12" s="130" t="n">
        <f aca="false">B12+C12+D12</f>
        <v>-13500</v>
      </c>
      <c r="F12" s="130" t="n">
        <f aca="false">F11+E12</f>
        <v>-401250</v>
      </c>
    </row>
    <row r="13" customFormat="false" ht="14.25" hidden="false" customHeight="true" outlineLevel="0" collapsed="false">
      <c r="A13" s="129" t="s">
        <v>362</v>
      </c>
      <c r="B13" s="130" t="n">
        <f aca="false">SUMIFS(CashFlows!$E$6:$E$309,CashFlows!$A$6:$A$309,"&gt;="&amp;DATE(VALUE(MID($A13,4,4)),(VALUE(MID($A13,2,1))-1)*3+1,1),CashFlows!$A$6:$A$309,"&lt;="&amp;DATE(VALUE(MID($A13,4,4)),VALUE(MID($A13,2,1))*3+1,0),CashFlows!$G$6:$G$309,"Initial")</f>
        <v>0</v>
      </c>
      <c r="C13" s="130" t="n">
        <f aca="false">SUMIFS(CashFlows!$E$6:$E$309,CashFlows!$A$6:$A$309,"&gt;="&amp;DATE(VALUE(MID($A13,4,4)),(VALUE(MID($A13,2,1))-1)*3+1,1),CashFlows!$A$6:$A$309,"&lt;="&amp;DATE(VALUE(MID($A13,4,4)),VALUE(MID($A13,2,1))*3+1,0),CashFlows!$G$6:$G$309,"Ongoing")</f>
        <v>-22500</v>
      </c>
      <c r="D13" s="130" t="n">
        <f aca="false">SUMIFS(CashFlows!$E$6:$E$309,CashFlows!$A$6:$A$309,"&gt;="&amp;DATE(VALUE(MID($A13,4,4)),(VALUE(MID($A13,2,1))-1)*3+1,1),CashFlows!$A$6:$A$309,"&lt;="&amp;DATE(VALUE(MID($A13,4,4)),VALUE(MID($A13,2,1))*3+1,0),CashFlows!$D$6:$D$309,"&lt;&gt;Capital Call",CashFlows!$D$6:$D$309,"&lt;&gt;")</f>
        <v>4500</v>
      </c>
      <c r="E13" s="130" t="n">
        <f aca="false">B13+C13+D13</f>
        <v>-18000</v>
      </c>
      <c r="F13" s="130" t="n">
        <f aca="false">F12+E13</f>
        <v>-419250</v>
      </c>
    </row>
    <row r="14" customFormat="false" ht="14.25" hidden="false" customHeight="true" outlineLevel="0" collapsed="false">
      <c r="A14" s="129" t="s">
        <v>363</v>
      </c>
      <c r="B14" s="130" t="n">
        <f aca="false">SUMIFS(CashFlows!$E$6:$E$309,CashFlows!$A$6:$A$309,"&gt;="&amp;DATE(VALUE(MID($A14,4,4)),(VALUE(MID($A14,2,1))-1)*3+1,1),CashFlows!$A$6:$A$309,"&lt;="&amp;DATE(VALUE(MID($A14,4,4)),VALUE(MID($A14,2,1))*3+1,0),CashFlows!$G$6:$G$309,"Initial")</f>
        <v>0</v>
      </c>
      <c r="C14" s="130" t="n">
        <f aca="false">SUMIFS(CashFlows!$E$6:$E$309,CashFlows!$A$6:$A$309,"&gt;="&amp;DATE(VALUE(MID($A14,4,4)),(VALUE(MID($A14,2,1))-1)*3+1,1),CashFlows!$A$6:$A$309,"&lt;="&amp;DATE(VALUE(MID($A14,4,4)),VALUE(MID($A14,2,1))*3+1,0),CashFlows!$G$6:$G$309,"Ongoing")</f>
        <v>-22500</v>
      </c>
      <c r="D14" s="130" t="n">
        <f aca="false">SUMIFS(CashFlows!$E$6:$E$309,CashFlows!$A$6:$A$309,"&gt;="&amp;DATE(VALUE(MID($A14,4,4)),(VALUE(MID($A14,2,1))-1)*3+1,1),CashFlows!$A$6:$A$309,"&lt;="&amp;DATE(VALUE(MID($A14,4,4)),VALUE(MID($A14,2,1))*3+1,0),CashFlows!$D$6:$D$309,"&lt;&gt;Capital Call",CashFlows!$D$6:$D$309,"&lt;&gt;")</f>
        <v>12000</v>
      </c>
      <c r="E14" s="130" t="n">
        <f aca="false">B14+C14+D14</f>
        <v>-10500</v>
      </c>
      <c r="F14" s="130" t="n">
        <f aca="false">F13+E14</f>
        <v>-429750</v>
      </c>
    </row>
    <row r="15" customFormat="false" ht="14.25" hidden="false" customHeight="true" outlineLevel="0" collapsed="false">
      <c r="A15" s="129" t="s">
        <v>364</v>
      </c>
      <c r="B15" s="130" t="n">
        <f aca="false">SUMIFS(CashFlows!$E$6:$E$309,CashFlows!$A$6:$A$309,"&gt;="&amp;DATE(VALUE(MID($A15,4,4)),(VALUE(MID($A15,2,1))-1)*3+1,1),CashFlows!$A$6:$A$309,"&lt;="&amp;DATE(VALUE(MID($A15,4,4)),VALUE(MID($A15,2,1))*3+1,0),CashFlows!$G$6:$G$309,"Initial")</f>
        <v>0</v>
      </c>
      <c r="C15" s="130" t="n">
        <f aca="false">SUMIFS(CashFlows!$E$6:$E$309,CashFlows!$A$6:$A$309,"&gt;="&amp;DATE(VALUE(MID($A15,4,4)),(VALUE(MID($A15,2,1))-1)*3+1,1),CashFlows!$A$6:$A$309,"&lt;="&amp;DATE(VALUE(MID($A15,4,4)),VALUE(MID($A15,2,1))*3+1,0),CashFlows!$G$6:$G$309,"Ongoing")</f>
        <v>-22500</v>
      </c>
      <c r="D15" s="130" t="n">
        <f aca="false">SUMIFS(CashFlows!$E$6:$E$309,CashFlows!$A$6:$A$309,"&gt;="&amp;DATE(VALUE(MID($A15,4,4)),(VALUE(MID($A15,2,1))-1)*3+1,1),CashFlows!$A$6:$A$309,"&lt;="&amp;DATE(VALUE(MID($A15,4,4)),VALUE(MID($A15,2,1))*3+1,0),CashFlows!$D$6:$D$309,"&lt;&gt;Capital Call",CashFlows!$D$6:$D$309,"&lt;&gt;")</f>
        <v>4500</v>
      </c>
      <c r="E15" s="130" t="n">
        <f aca="false">B15+C15+D15</f>
        <v>-18000</v>
      </c>
      <c r="F15" s="130" t="n">
        <f aca="false">F14+E15</f>
        <v>-447750</v>
      </c>
    </row>
    <row r="16" customFormat="false" ht="14.25" hidden="false" customHeight="true" outlineLevel="0" collapsed="false">
      <c r="A16" s="129" t="s">
        <v>365</v>
      </c>
      <c r="B16" s="130" t="n">
        <f aca="false">SUMIFS(CashFlows!$E$6:$E$309,CashFlows!$A$6:$A$309,"&gt;="&amp;DATE(VALUE(MID($A16,4,4)),(VALUE(MID($A16,2,1))-1)*3+1,1),CashFlows!$A$6:$A$309,"&lt;="&amp;DATE(VALUE(MID($A16,4,4)),VALUE(MID($A16,2,1))*3+1,0),CashFlows!$G$6:$G$309,"Initial")</f>
        <v>0</v>
      </c>
      <c r="C16" s="130" t="n">
        <f aca="false">SUMIFS(CashFlows!$E$6:$E$309,CashFlows!$A$6:$A$309,"&gt;="&amp;DATE(VALUE(MID($A16,4,4)),(VALUE(MID($A16,2,1))-1)*3+1,1),CashFlows!$A$6:$A$309,"&lt;="&amp;DATE(VALUE(MID($A16,4,4)),VALUE(MID($A16,2,1))*3+1,0),CashFlows!$G$6:$G$309,"Ongoing")</f>
        <v>-22500</v>
      </c>
      <c r="D16" s="130" t="n">
        <f aca="false">SUMIFS(CashFlows!$E$6:$E$309,CashFlows!$A$6:$A$309,"&gt;="&amp;DATE(VALUE(MID($A16,4,4)),(VALUE(MID($A16,2,1))-1)*3+1,1),CashFlows!$A$6:$A$309,"&lt;="&amp;DATE(VALUE(MID($A16,4,4)),VALUE(MID($A16,2,1))*3+1,0),CashFlows!$D$6:$D$309,"&lt;&gt;Capital Call",CashFlows!$D$6:$D$309,"&lt;&gt;")</f>
        <v>12000</v>
      </c>
      <c r="E16" s="130" t="n">
        <f aca="false">B16+C16+D16</f>
        <v>-10500</v>
      </c>
      <c r="F16" s="130" t="n">
        <f aca="false">F15+E16</f>
        <v>-458250</v>
      </c>
    </row>
    <row r="17" customFormat="false" ht="14.25" hidden="false" customHeight="true" outlineLevel="0" collapsed="false">
      <c r="A17" s="129" t="s">
        <v>366</v>
      </c>
      <c r="B17" s="130" t="n">
        <f aca="false">SUMIFS(CashFlows!$E$6:$E$309,CashFlows!$A$6:$A$309,"&gt;="&amp;DATE(VALUE(MID($A17,4,4)),(VALUE(MID($A17,2,1))-1)*3+1,1),CashFlows!$A$6:$A$309,"&lt;="&amp;DATE(VALUE(MID($A17,4,4)),VALUE(MID($A17,2,1))*3+1,0),CashFlows!$G$6:$G$309,"Initial")</f>
        <v>0</v>
      </c>
      <c r="C17" s="130" t="n">
        <f aca="false">SUMIFS(CashFlows!$E$6:$E$309,CashFlows!$A$6:$A$309,"&gt;="&amp;DATE(VALUE(MID($A17,4,4)),(VALUE(MID($A17,2,1))-1)*3+1,1),CashFlows!$A$6:$A$309,"&lt;="&amp;DATE(VALUE(MID($A17,4,4)),VALUE(MID($A17,2,1))*3+1,0),CashFlows!$G$6:$G$309,"Ongoing")</f>
        <v>-22500</v>
      </c>
      <c r="D17" s="130" t="n">
        <f aca="false">SUMIFS(CashFlows!$E$6:$E$309,CashFlows!$A$6:$A$309,"&gt;="&amp;DATE(VALUE(MID($A17,4,4)),(VALUE(MID($A17,2,1))-1)*3+1,1),CashFlows!$A$6:$A$309,"&lt;="&amp;DATE(VALUE(MID($A17,4,4)),VALUE(MID($A17,2,1))*3+1,0),CashFlows!$D$6:$D$309,"&lt;&gt;Capital Call",CashFlows!$D$6:$D$309,"&lt;&gt;")</f>
        <v>4500</v>
      </c>
      <c r="E17" s="130" t="n">
        <f aca="false">B17+C17+D17</f>
        <v>-18000</v>
      </c>
      <c r="F17" s="130" t="n">
        <f aca="false">F16+E17</f>
        <v>-476250</v>
      </c>
    </row>
    <row r="18" customFormat="false" ht="14.25" hidden="false" customHeight="true" outlineLevel="0" collapsed="false">
      <c r="A18" s="129" t="s">
        <v>367</v>
      </c>
      <c r="B18" s="130" t="n">
        <f aca="false">SUMIFS(CashFlows!$E$6:$E$309,CashFlows!$A$6:$A$309,"&gt;="&amp;DATE(VALUE(MID($A18,4,4)),(VALUE(MID($A18,2,1))-1)*3+1,1),CashFlows!$A$6:$A$309,"&lt;="&amp;DATE(VALUE(MID($A18,4,4)),VALUE(MID($A18,2,1))*3+1,0),CashFlows!$G$6:$G$309,"Initial")</f>
        <v>0</v>
      </c>
      <c r="C18" s="130" t="n">
        <f aca="false">SUMIFS(CashFlows!$E$6:$E$309,CashFlows!$A$6:$A$309,"&gt;="&amp;DATE(VALUE(MID($A18,4,4)),(VALUE(MID($A18,2,1))-1)*3+1,1),CashFlows!$A$6:$A$309,"&lt;="&amp;DATE(VALUE(MID($A18,4,4)),VALUE(MID($A18,2,1))*3+1,0),CashFlows!$G$6:$G$309,"Ongoing")</f>
        <v>-22500</v>
      </c>
      <c r="D18" s="130" t="n">
        <f aca="false">SUMIFS(CashFlows!$E$6:$E$309,CashFlows!$A$6:$A$309,"&gt;="&amp;DATE(VALUE(MID($A18,4,4)),(VALUE(MID($A18,2,1))-1)*3+1,1),CashFlows!$A$6:$A$309,"&lt;="&amp;DATE(VALUE(MID($A18,4,4)),VALUE(MID($A18,2,1))*3+1,0),CashFlows!$D$6:$D$309,"&lt;&gt;Capital Call",CashFlows!$D$6:$D$309,"&lt;&gt;")</f>
        <v>12000</v>
      </c>
      <c r="E18" s="130" t="n">
        <f aca="false">B18+C18+D18</f>
        <v>-10500</v>
      </c>
      <c r="F18" s="130" t="n">
        <f aca="false">F17+E18</f>
        <v>-486750</v>
      </c>
    </row>
    <row r="19" customFormat="false" ht="14.25" hidden="false" customHeight="true" outlineLevel="0" collapsed="false">
      <c r="A19" s="129" t="s">
        <v>368</v>
      </c>
      <c r="B19" s="130" t="n">
        <f aca="false">SUMIFS(CashFlows!$E$6:$E$309,CashFlows!$A$6:$A$309,"&gt;="&amp;DATE(VALUE(MID($A19,4,4)),(VALUE(MID($A19,2,1))-1)*3+1,1),CashFlows!$A$6:$A$309,"&lt;="&amp;DATE(VALUE(MID($A19,4,4)),VALUE(MID($A19,2,1))*3+1,0),CashFlows!$G$6:$G$309,"Initial")</f>
        <v>0</v>
      </c>
      <c r="C19" s="130" t="n">
        <f aca="false">SUMIFS(CashFlows!$E$6:$E$309,CashFlows!$A$6:$A$309,"&gt;="&amp;DATE(VALUE(MID($A19,4,4)),(VALUE(MID($A19,2,1))-1)*3+1,1),CashFlows!$A$6:$A$309,"&lt;="&amp;DATE(VALUE(MID($A19,4,4)),VALUE(MID($A19,2,1))*3+1,0),CashFlows!$G$6:$G$309,"Ongoing")</f>
        <v>-12500</v>
      </c>
      <c r="D19" s="130" t="n">
        <f aca="false">SUMIFS(CashFlows!$E$6:$E$309,CashFlows!$A$6:$A$309,"&gt;="&amp;DATE(VALUE(MID($A19,4,4)),(VALUE(MID($A19,2,1))-1)*3+1,1),CashFlows!$A$6:$A$309,"&lt;="&amp;DATE(VALUE(MID($A19,4,4)),VALUE(MID($A19,2,1))*3+1,0),CashFlows!$D$6:$D$309,"&lt;&gt;Capital Call",CashFlows!$D$6:$D$309,"&lt;&gt;")</f>
        <v>4500</v>
      </c>
      <c r="E19" s="130" t="n">
        <f aca="false">B19+C19+D19</f>
        <v>-8000</v>
      </c>
      <c r="F19" s="130" t="n">
        <f aca="false">F18+E19</f>
        <v>-494750</v>
      </c>
    </row>
    <row r="20" customFormat="false" ht="14.25" hidden="false" customHeight="true" outlineLevel="0" collapsed="false">
      <c r="A20" s="129" t="s">
        <v>369</v>
      </c>
      <c r="B20" s="130" t="n">
        <f aca="false">SUMIFS(CashFlows!$E$6:$E$309,CashFlows!$A$6:$A$309,"&gt;="&amp;DATE(VALUE(MID($A20,4,4)),(VALUE(MID($A20,2,1))-1)*3+1,1),CashFlows!$A$6:$A$309,"&lt;="&amp;DATE(VALUE(MID($A20,4,4)),VALUE(MID($A20,2,1))*3+1,0),CashFlows!$G$6:$G$309,"Initial")</f>
        <v>0</v>
      </c>
      <c r="C20" s="130" t="n">
        <f aca="false">SUMIFS(CashFlows!$E$6:$E$309,CashFlows!$A$6:$A$309,"&gt;="&amp;DATE(VALUE(MID($A20,4,4)),(VALUE(MID($A20,2,1))-1)*3+1,1),CashFlows!$A$6:$A$309,"&lt;="&amp;DATE(VALUE(MID($A20,4,4)),VALUE(MID($A20,2,1))*3+1,0),CashFlows!$G$6:$G$309,"Ongoing")</f>
        <v>-12500</v>
      </c>
      <c r="D20" s="130" t="n">
        <f aca="false">SUMIFS(CashFlows!$E$6:$E$309,CashFlows!$A$6:$A$309,"&gt;="&amp;DATE(VALUE(MID($A20,4,4)),(VALUE(MID($A20,2,1))-1)*3+1,1),CashFlows!$A$6:$A$309,"&lt;="&amp;DATE(VALUE(MID($A20,4,4)),VALUE(MID($A20,2,1))*3+1,0),CashFlows!$D$6:$D$309,"&lt;&gt;Capital Call",CashFlows!$D$6:$D$309,"&lt;&gt;")</f>
        <v>12000</v>
      </c>
      <c r="E20" s="130" t="n">
        <f aca="false">B20+C20+D20</f>
        <v>-500</v>
      </c>
      <c r="F20" s="130" t="n">
        <f aca="false">F19+E20</f>
        <v>-495250</v>
      </c>
    </row>
    <row r="21" customFormat="false" ht="14.25" hidden="false" customHeight="true" outlineLevel="0" collapsed="false">
      <c r="A21" s="129" t="s">
        <v>370</v>
      </c>
      <c r="B21" s="130" t="n">
        <f aca="false">SUMIFS(CashFlows!$E$6:$E$309,CashFlows!$A$6:$A$309,"&gt;="&amp;DATE(VALUE(MID($A21,4,4)),(VALUE(MID($A21,2,1))-1)*3+1,1),CashFlows!$A$6:$A$309,"&lt;="&amp;DATE(VALUE(MID($A21,4,4)),VALUE(MID($A21,2,1))*3+1,0),CashFlows!$G$6:$G$309,"Initial")</f>
        <v>0</v>
      </c>
      <c r="C21" s="130" t="n">
        <f aca="false">SUMIFS(CashFlows!$E$6:$E$309,CashFlows!$A$6:$A$309,"&gt;="&amp;DATE(VALUE(MID($A21,4,4)),(VALUE(MID($A21,2,1))-1)*3+1,1),CashFlows!$A$6:$A$309,"&lt;="&amp;DATE(VALUE(MID($A21,4,4)),VALUE(MID($A21,2,1))*3+1,0),CashFlows!$G$6:$G$309,"Ongoing")</f>
        <v>-12500</v>
      </c>
      <c r="D21" s="130" t="n">
        <f aca="false">SUMIFS(CashFlows!$E$6:$E$309,CashFlows!$A$6:$A$309,"&gt;="&amp;DATE(VALUE(MID($A21,4,4)),(VALUE(MID($A21,2,1))-1)*3+1,1),CashFlows!$A$6:$A$309,"&lt;="&amp;DATE(VALUE(MID($A21,4,4)),VALUE(MID($A21,2,1))*3+1,0),CashFlows!$D$6:$D$309,"&lt;&gt;Capital Call",CashFlows!$D$6:$D$309,"&lt;&gt;")</f>
        <v>4500</v>
      </c>
      <c r="E21" s="130" t="n">
        <f aca="false">B21+C21+D21</f>
        <v>-8000</v>
      </c>
      <c r="F21" s="130" t="n">
        <f aca="false">F20+E21</f>
        <v>-503250</v>
      </c>
    </row>
    <row r="22" customFormat="false" ht="14.25" hidden="false" customHeight="true" outlineLevel="0" collapsed="false">
      <c r="A22" s="129" t="s">
        <v>371</v>
      </c>
      <c r="B22" s="130" t="n">
        <f aca="false">SUMIFS(CashFlows!$E$6:$E$309,CashFlows!$A$6:$A$309,"&gt;="&amp;DATE(VALUE(MID($A22,4,4)),(VALUE(MID($A22,2,1))-1)*3+1,1),CashFlows!$A$6:$A$309,"&lt;="&amp;DATE(VALUE(MID($A22,4,4)),VALUE(MID($A22,2,1))*3+1,0),CashFlows!$G$6:$G$309,"Initial")</f>
        <v>0</v>
      </c>
      <c r="C22" s="130" t="n">
        <f aca="false">SUMIFS(CashFlows!$E$6:$E$309,CashFlows!$A$6:$A$309,"&gt;="&amp;DATE(VALUE(MID($A22,4,4)),(VALUE(MID($A22,2,1))-1)*3+1,1),CashFlows!$A$6:$A$309,"&lt;="&amp;DATE(VALUE(MID($A22,4,4)),VALUE(MID($A22,2,1))*3+1,0),CashFlows!$G$6:$G$309,"Ongoing")</f>
        <v>-12500</v>
      </c>
      <c r="D22" s="130" t="n">
        <f aca="false">SUMIFS(CashFlows!$E$6:$E$309,CashFlows!$A$6:$A$309,"&gt;="&amp;DATE(VALUE(MID($A22,4,4)),(VALUE(MID($A22,2,1))-1)*3+1,1),CashFlows!$A$6:$A$309,"&lt;="&amp;DATE(VALUE(MID($A22,4,4)),VALUE(MID($A22,2,1))*3+1,0),CashFlows!$D$6:$D$309,"&lt;&gt;Capital Call",CashFlows!$D$6:$D$309,"&lt;&gt;")</f>
        <v>12000</v>
      </c>
      <c r="E22" s="130" t="n">
        <f aca="false">B22+C22+D22</f>
        <v>-500</v>
      </c>
      <c r="F22" s="130" t="n">
        <f aca="false">F21+E22</f>
        <v>-503750</v>
      </c>
    </row>
    <row r="23" customFormat="false" ht="14.25" hidden="false" customHeight="true" outlineLevel="0" collapsed="false">
      <c r="A23" s="129" t="s">
        <v>372</v>
      </c>
      <c r="B23" s="130" t="n">
        <f aca="false">SUMIFS(CashFlows!$E$6:$E$309,CashFlows!$A$6:$A$309,"&gt;="&amp;DATE(VALUE(MID($A23,4,4)),(VALUE(MID($A23,2,1))-1)*3+1,1),CashFlows!$A$6:$A$309,"&lt;="&amp;DATE(VALUE(MID($A23,4,4)),VALUE(MID($A23,2,1))*3+1,0),CashFlows!$G$6:$G$309,"Initial")</f>
        <v>0</v>
      </c>
      <c r="C23" s="130" t="n">
        <f aca="false">SUMIFS(CashFlows!$E$6:$E$309,CashFlows!$A$6:$A$309,"&gt;="&amp;DATE(VALUE(MID($A23,4,4)),(VALUE(MID($A23,2,1))-1)*3+1,1),CashFlows!$A$6:$A$309,"&lt;="&amp;DATE(VALUE(MID($A23,4,4)),VALUE(MID($A23,2,1))*3+1,0),CashFlows!$G$6:$G$309,"Ongoing")</f>
        <v>-12500</v>
      </c>
      <c r="D23" s="130" t="n">
        <f aca="false">SUMIFS(CashFlows!$E$6:$E$309,CashFlows!$A$6:$A$309,"&gt;="&amp;DATE(VALUE(MID($A23,4,4)),(VALUE(MID($A23,2,1))-1)*3+1,1),CashFlows!$A$6:$A$309,"&lt;="&amp;DATE(VALUE(MID($A23,4,4)),VALUE(MID($A23,2,1))*3+1,0),CashFlows!$D$6:$D$309,"&lt;&gt;Capital Call",CashFlows!$D$6:$D$309,"&lt;&gt;")</f>
        <v>4500</v>
      </c>
      <c r="E23" s="130" t="n">
        <f aca="false">B23+C23+D23</f>
        <v>-8000</v>
      </c>
      <c r="F23" s="130" t="n">
        <f aca="false">F22+E23</f>
        <v>-511750</v>
      </c>
    </row>
    <row r="24" customFormat="false" ht="14.25" hidden="false" customHeight="true" outlineLevel="0" collapsed="false">
      <c r="A24" s="129" t="s">
        <v>373</v>
      </c>
      <c r="B24" s="130" t="n">
        <f aca="false">SUMIFS(CashFlows!$E$6:$E$309,CashFlows!$A$6:$A$309,"&gt;="&amp;DATE(VALUE(MID($A24,4,4)),(VALUE(MID($A24,2,1))-1)*3+1,1),CashFlows!$A$6:$A$309,"&lt;="&amp;DATE(VALUE(MID($A24,4,4)),VALUE(MID($A24,2,1))*3+1,0),CashFlows!$G$6:$G$309,"Initial")</f>
        <v>0</v>
      </c>
      <c r="C24" s="130" t="n">
        <f aca="false">SUMIFS(CashFlows!$E$6:$E$309,CashFlows!$A$6:$A$309,"&gt;="&amp;DATE(VALUE(MID($A24,4,4)),(VALUE(MID($A24,2,1))-1)*3+1,1),CashFlows!$A$6:$A$309,"&lt;="&amp;DATE(VALUE(MID($A24,4,4)),VALUE(MID($A24,2,1))*3+1,0),CashFlows!$G$6:$G$309,"Ongoing")</f>
        <v>-12500</v>
      </c>
      <c r="D24" s="130" t="n">
        <f aca="false">SUMIFS(CashFlows!$E$6:$E$309,CashFlows!$A$6:$A$309,"&gt;="&amp;DATE(VALUE(MID($A24,4,4)),(VALUE(MID($A24,2,1))-1)*3+1,1),CashFlows!$A$6:$A$309,"&lt;="&amp;DATE(VALUE(MID($A24,4,4)),VALUE(MID($A24,2,1))*3+1,0),CashFlows!$D$6:$D$309,"&lt;&gt;Capital Call",CashFlows!$D$6:$D$309,"&lt;&gt;")</f>
        <v>12000</v>
      </c>
      <c r="E24" s="130" t="n">
        <f aca="false">B24+C24+D24</f>
        <v>-500</v>
      </c>
      <c r="F24" s="130" t="n">
        <f aca="false">F23+E24</f>
        <v>-512250</v>
      </c>
    </row>
    <row r="25" customFormat="false" ht="14.25" hidden="false" customHeight="true" outlineLevel="0" collapsed="false">
      <c r="A25" s="129" t="s">
        <v>374</v>
      </c>
      <c r="B25" s="130" t="n">
        <f aca="false">SUMIFS(CashFlows!$E$6:$E$309,CashFlows!$A$6:$A$309,"&gt;="&amp;DATE(VALUE(MID($A25,4,4)),(VALUE(MID($A25,2,1))-1)*3+1,1),CashFlows!$A$6:$A$309,"&lt;="&amp;DATE(VALUE(MID($A25,4,4)),VALUE(MID($A25,2,1))*3+1,0),CashFlows!$G$6:$G$309,"Initial")</f>
        <v>0</v>
      </c>
      <c r="C25" s="130" t="n">
        <f aca="false">SUMIFS(CashFlows!$E$6:$E$309,CashFlows!$A$6:$A$309,"&gt;="&amp;DATE(VALUE(MID($A25,4,4)),(VALUE(MID($A25,2,1))-1)*3+1,1),CashFlows!$A$6:$A$309,"&lt;="&amp;DATE(VALUE(MID($A25,4,4)),VALUE(MID($A25,2,1))*3+1,0),CashFlows!$G$6:$G$309,"Ongoing")</f>
        <v>0</v>
      </c>
      <c r="D25" s="130" t="n">
        <f aca="false">SUMIFS(CashFlows!$E$6:$E$309,CashFlows!$A$6:$A$309,"&gt;="&amp;DATE(VALUE(MID($A25,4,4)),(VALUE(MID($A25,2,1))-1)*3+1,1),CashFlows!$A$6:$A$309,"&lt;="&amp;DATE(VALUE(MID($A25,4,4)),VALUE(MID($A25,2,1))*3+1,0),CashFlows!$D$6:$D$309,"&lt;&gt;Capital Call",CashFlows!$D$6:$D$309,"&lt;&gt;")</f>
        <v>4500</v>
      </c>
      <c r="E25" s="130" t="n">
        <f aca="false">B25+C25+D25</f>
        <v>4500</v>
      </c>
      <c r="F25" s="130" t="n">
        <f aca="false">F24+E25</f>
        <v>-507750</v>
      </c>
    </row>
    <row r="26" customFormat="false" ht="14.25" hidden="false" customHeight="true" outlineLevel="0" collapsed="false">
      <c r="A26" s="129" t="s">
        <v>375</v>
      </c>
      <c r="B26" s="130" t="n">
        <f aca="false">SUMIFS(CashFlows!$E$6:$E$309,CashFlows!$A$6:$A$309,"&gt;="&amp;DATE(VALUE(MID($A26,4,4)),(VALUE(MID($A26,2,1))-1)*3+1,1),CashFlows!$A$6:$A$309,"&lt;="&amp;DATE(VALUE(MID($A26,4,4)),VALUE(MID($A26,2,1))*3+1,0),CashFlows!$G$6:$G$309,"Initial")</f>
        <v>0</v>
      </c>
      <c r="C26" s="130" t="n">
        <f aca="false">SUMIFS(CashFlows!$E$6:$E$309,CashFlows!$A$6:$A$309,"&gt;="&amp;DATE(VALUE(MID($A26,4,4)),(VALUE(MID($A26,2,1))-1)*3+1,1),CashFlows!$A$6:$A$309,"&lt;="&amp;DATE(VALUE(MID($A26,4,4)),VALUE(MID($A26,2,1))*3+1,0),CashFlows!$G$6:$G$309,"Ongoing")</f>
        <v>0</v>
      </c>
      <c r="D26" s="130" t="n">
        <f aca="false">SUMIFS(CashFlows!$E$6:$E$309,CashFlows!$A$6:$A$309,"&gt;="&amp;DATE(VALUE(MID($A26,4,4)),(VALUE(MID($A26,2,1))-1)*3+1,1),CashFlows!$A$6:$A$309,"&lt;="&amp;DATE(VALUE(MID($A26,4,4)),VALUE(MID($A26,2,1))*3+1,0),CashFlows!$D$6:$D$309,"&lt;&gt;Capital Call",CashFlows!$D$6:$D$309,"&lt;&gt;")</f>
        <v>12000</v>
      </c>
      <c r="E26" s="130" t="n">
        <f aca="false">B26+C26+D26</f>
        <v>12000</v>
      </c>
      <c r="F26" s="130" t="n">
        <f aca="false">F25+E26</f>
        <v>-495750</v>
      </c>
    </row>
    <row r="27" customFormat="false" ht="14.25" hidden="false" customHeight="true" outlineLevel="0" collapsed="false">
      <c r="A27" s="129" t="s">
        <v>376</v>
      </c>
      <c r="B27" s="130" t="n">
        <f aca="false">SUMIFS(CashFlows!$E$6:$E$309,CashFlows!$A$6:$A$309,"&gt;="&amp;DATE(VALUE(MID($A27,4,4)),(VALUE(MID($A27,2,1))-1)*3+1,1),CashFlows!$A$6:$A$309,"&lt;="&amp;DATE(VALUE(MID($A27,4,4)),VALUE(MID($A27,2,1))*3+1,0),CashFlows!$G$6:$G$309,"Initial")</f>
        <v>0</v>
      </c>
      <c r="C27" s="130" t="n">
        <f aca="false">SUMIFS(CashFlows!$E$6:$E$309,CashFlows!$A$6:$A$309,"&gt;="&amp;DATE(VALUE(MID($A27,4,4)),(VALUE(MID($A27,2,1))-1)*3+1,1),CashFlows!$A$6:$A$309,"&lt;="&amp;DATE(VALUE(MID($A27,4,4)),VALUE(MID($A27,2,1))*3+1,0),CashFlows!$G$6:$G$309,"Ongoing")</f>
        <v>0</v>
      </c>
      <c r="D27" s="130" t="n">
        <f aca="false">SUMIFS(CashFlows!$E$6:$E$309,CashFlows!$A$6:$A$309,"&gt;="&amp;DATE(VALUE(MID($A27,4,4)),(VALUE(MID($A27,2,1))-1)*3+1,1),CashFlows!$A$6:$A$309,"&lt;="&amp;DATE(VALUE(MID($A27,4,4)),VALUE(MID($A27,2,1))*3+1,0),CashFlows!$D$6:$D$309,"&lt;&gt;Capital Call",CashFlows!$D$6:$D$309,"&lt;&gt;")</f>
        <v>4500</v>
      </c>
      <c r="E27" s="130" t="n">
        <f aca="false">B27+C27+D27</f>
        <v>4500</v>
      </c>
      <c r="F27" s="130" t="n">
        <f aca="false">F26+E27</f>
        <v>-491250</v>
      </c>
    </row>
    <row r="28" customFormat="false" ht="14.25" hidden="false" customHeight="true" outlineLevel="0" collapsed="false">
      <c r="A28" s="129" t="s">
        <v>377</v>
      </c>
      <c r="B28" s="130" t="n">
        <f aca="false">SUMIFS(CashFlows!$E$6:$E$309,CashFlows!$A$6:$A$309,"&gt;="&amp;DATE(VALUE(MID($A28,4,4)),(VALUE(MID($A28,2,1))-1)*3+1,1),CashFlows!$A$6:$A$309,"&lt;="&amp;DATE(VALUE(MID($A28,4,4)),VALUE(MID($A28,2,1))*3+1,0),CashFlows!$G$6:$G$309,"Initial")</f>
        <v>0</v>
      </c>
      <c r="C28" s="130" t="n">
        <f aca="false">SUMIFS(CashFlows!$E$6:$E$309,CashFlows!$A$6:$A$309,"&gt;="&amp;DATE(VALUE(MID($A28,4,4)),(VALUE(MID($A28,2,1))-1)*3+1,1),CashFlows!$A$6:$A$309,"&lt;="&amp;DATE(VALUE(MID($A28,4,4)),VALUE(MID($A28,2,1))*3+1,0),CashFlows!$G$6:$G$309,"Ongoing")</f>
        <v>0</v>
      </c>
      <c r="D28" s="130" t="n">
        <f aca="false">SUMIFS(CashFlows!$E$6:$E$309,CashFlows!$A$6:$A$309,"&gt;="&amp;DATE(VALUE(MID($A28,4,4)),(VALUE(MID($A28,2,1))-1)*3+1,1),CashFlows!$A$6:$A$309,"&lt;="&amp;DATE(VALUE(MID($A28,4,4)),VALUE(MID($A28,2,1))*3+1,0),CashFlows!$D$6:$D$309,"&lt;&gt;Capital Call",CashFlows!$D$6:$D$309,"&lt;&gt;")</f>
        <v>87000</v>
      </c>
      <c r="E28" s="130" t="n">
        <f aca="false">B28+C28+D28</f>
        <v>87000</v>
      </c>
      <c r="F28" s="130" t="n">
        <f aca="false">F27+E28</f>
        <v>-404250</v>
      </c>
    </row>
    <row r="29" customFormat="false" ht="14.25" hidden="false" customHeight="true" outlineLevel="0" collapsed="false">
      <c r="A29" s="129" t="s">
        <v>378</v>
      </c>
      <c r="B29" s="130" t="n">
        <f aca="false">SUMIFS(CashFlows!$E$6:$E$309,CashFlows!$A$6:$A$309,"&gt;="&amp;DATE(VALUE(MID($A29,4,4)),(VALUE(MID($A29,2,1))-1)*3+1,1),CashFlows!$A$6:$A$309,"&lt;="&amp;DATE(VALUE(MID($A29,4,4)),VALUE(MID($A29,2,1))*3+1,0),CashFlows!$G$6:$G$309,"Initial")</f>
        <v>0</v>
      </c>
      <c r="C29" s="130" t="n">
        <f aca="false">SUMIFS(CashFlows!$E$6:$E$309,CashFlows!$A$6:$A$309,"&gt;="&amp;DATE(VALUE(MID($A29,4,4)),(VALUE(MID($A29,2,1))-1)*3+1,1),CashFlows!$A$6:$A$309,"&lt;="&amp;DATE(VALUE(MID($A29,4,4)),VALUE(MID($A29,2,1))*3+1,0),CashFlows!$G$6:$G$309,"Ongoing")</f>
        <v>0</v>
      </c>
      <c r="D29" s="130" t="n">
        <f aca="false">SUMIFS(CashFlows!$E$6:$E$309,CashFlows!$A$6:$A$309,"&gt;="&amp;DATE(VALUE(MID($A29,4,4)),(VALUE(MID($A29,2,1))-1)*3+1,1),CashFlows!$A$6:$A$309,"&lt;="&amp;DATE(VALUE(MID($A29,4,4)),VALUE(MID($A29,2,1))*3+1,0),CashFlows!$D$6:$D$309,"&lt;&gt;Capital Call",CashFlows!$D$6:$D$309,"&lt;&gt;")</f>
        <v>3750</v>
      </c>
      <c r="E29" s="130" t="n">
        <f aca="false">B29+C29+D29</f>
        <v>3750</v>
      </c>
      <c r="F29" s="130" t="n">
        <f aca="false">F28+E29</f>
        <v>-400500</v>
      </c>
    </row>
    <row r="30" customFormat="false" ht="14.25" hidden="false" customHeight="true" outlineLevel="0" collapsed="false">
      <c r="A30" s="129" t="s">
        <v>379</v>
      </c>
      <c r="B30" s="130" t="n">
        <f aca="false">SUMIFS(CashFlows!$E$6:$E$309,CashFlows!$A$6:$A$309,"&gt;="&amp;DATE(VALUE(MID($A30,4,4)),(VALUE(MID($A30,2,1))-1)*3+1,1),CashFlows!$A$6:$A$309,"&lt;="&amp;DATE(VALUE(MID($A30,4,4)),VALUE(MID($A30,2,1))*3+1,0),CashFlows!$G$6:$G$309,"Initial")</f>
        <v>0</v>
      </c>
      <c r="C30" s="130" t="n">
        <f aca="false">SUMIFS(CashFlows!$E$6:$E$309,CashFlows!$A$6:$A$309,"&gt;="&amp;DATE(VALUE(MID($A30,4,4)),(VALUE(MID($A30,2,1))-1)*3+1,1),CashFlows!$A$6:$A$309,"&lt;="&amp;DATE(VALUE(MID($A30,4,4)),VALUE(MID($A30,2,1))*3+1,0),CashFlows!$G$6:$G$309,"Ongoing")</f>
        <v>0</v>
      </c>
      <c r="D30" s="130" t="n">
        <f aca="false">SUMIFS(CashFlows!$E$6:$E$309,CashFlows!$A$6:$A$309,"&gt;="&amp;DATE(VALUE(MID($A30,4,4)),(VALUE(MID($A30,2,1))-1)*3+1,1),CashFlows!$A$6:$A$309,"&lt;="&amp;DATE(VALUE(MID($A30,4,4)),VALUE(MID($A30,2,1))*3+1,0),CashFlows!$D$6:$D$309,"&lt;&gt;Capital Call",CashFlows!$D$6:$D$309,"&lt;&gt;")</f>
        <v>8250</v>
      </c>
      <c r="E30" s="130" t="n">
        <f aca="false">B30+C30+D30</f>
        <v>8250</v>
      </c>
      <c r="F30" s="130" t="n">
        <f aca="false">F29+E30</f>
        <v>-392250</v>
      </c>
    </row>
    <row r="31" customFormat="false" ht="14.25" hidden="false" customHeight="true" outlineLevel="0" collapsed="false">
      <c r="A31" s="129" t="s">
        <v>380</v>
      </c>
      <c r="B31" s="130" t="n">
        <f aca="false">SUMIFS(CashFlows!$E$6:$E$309,CashFlows!$A$6:$A$309,"&gt;="&amp;DATE(VALUE(MID($A31,4,4)),(VALUE(MID($A31,2,1))-1)*3+1,1),CashFlows!$A$6:$A$309,"&lt;="&amp;DATE(VALUE(MID($A31,4,4)),VALUE(MID($A31,2,1))*3+1,0),CashFlows!$G$6:$G$309,"Initial")</f>
        <v>0</v>
      </c>
      <c r="C31" s="130" t="n">
        <f aca="false">SUMIFS(CashFlows!$E$6:$E$309,CashFlows!$A$6:$A$309,"&gt;="&amp;DATE(VALUE(MID($A31,4,4)),(VALUE(MID($A31,2,1))-1)*3+1,1),CashFlows!$A$6:$A$309,"&lt;="&amp;DATE(VALUE(MID($A31,4,4)),VALUE(MID($A31,2,1))*3+1,0),CashFlows!$G$6:$G$309,"Ongoing")</f>
        <v>0</v>
      </c>
      <c r="D31" s="130" t="n">
        <f aca="false">SUMIFS(CashFlows!$E$6:$E$309,CashFlows!$A$6:$A$309,"&gt;="&amp;DATE(VALUE(MID($A31,4,4)),(VALUE(MID($A31,2,1))-1)*3+1,1),CashFlows!$A$6:$A$309,"&lt;="&amp;DATE(VALUE(MID($A31,4,4)),VALUE(MID($A31,2,1))*3+1,0),CashFlows!$D$6:$D$309,"&lt;&gt;Capital Call",CashFlows!$D$6:$D$309,"&lt;&gt;")</f>
        <v>75750</v>
      </c>
      <c r="E31" s="130" t="n">
        <f aca="false">B31+C31+D31</f>
        <v>75750</v>
      </c>
      <c r="F31" s="130" t="n">
        <f aca="false">F30+E31</f>
        <v>-316500</v>
      </c>
    </row>
    <row r="32" customFormat="false" ht="14.25" hidden="false" customHeight="true" outlineLevel="0" collapsed="false">
      <c r="A32" s="129" t="s">
        <v>381</v>
      </c>
      <c r="B32" s="130" t="n">
        <f aca="false">SUMIFS(CashFlows!$E$6:$E$309,CashFlows!$A$6:$A$309,"&gt;="&amp;DATE(VALUE(MID($A32,4,4)),(VALUE(MID($A32,2,1))-1)*3+1,1),CashFlows!$A$6:$A$309,"&lt;="&amp;DATE(VALUE(MID($A32,4,4)),VALUE(MID($A32,2,1))*3+1,0),CashFlows!$G$6:$G$309,"Initial")</f>
        <v>0</v>
      </c>
      <c r="C32" s="130" t="n">
        <f aca="false">SUMIFS(CashFlows!$E$6:$E$309,CashFlows!$A$6:$A$309,"&gt;="&amp;DATE(VALUE(MID($A32,4,4)),(VALUE(MID($A32,2,1))-1)*3+1,1),CashFlows!$A$6:$A$309,"&lt;="&amp;DATE(VALUE(MID($A32,4,4)),VALUE(MID($A32,2,1))*3+1,0),CashFlows!$G$6:$G$309,"Ongoing")</f>
        <v>0</v>
      </c>
      <c r="D32" s="130" t="n">
        <f aca="false">SUMIFS(CashFlows!$E$6:$E$309,CashFlows!$A$6:$A$309,"&gt;="&amp;DATE(VALUE(MID($A32,4,4)),(VALUE(MID($A32,2,1))-1)*3+1,1),CashFlows!$A$6:$A$309,"&lt;="&amp;DATE(VALUE(MID($A32,4,4)),VALUE(MID($A32,2,1))*3+1,0),CashFlows!$D$6:$D$309,"&lt;&gt;Capital Call",CashFlows!$D$6:$D$309,"&lt;&gt;")</f>
        <v>7500</v>
      </c>
      <c r="E32" s="130" t="n">
        <f aca="false">B32+C32+D32</f>
        <v>7500</v>
      </c>
      <c r="F32" s="130" t="n">
        <f aca="false">F31+E32</f>
        <v>-309000</v>
      </c>
    </row>
    <row r="33" customFormat="false" ht="14.25" hidden="false" customHeight="true" outlineLevel="0" collapsed="false">
      <c r="A33" s="129" t="s">
        <v>382</v>
      </c>
      <c r="B33" s="130" t="n">
        <f aca="false">SUMIFS(CashFlows!$E$6:$E$309,CashFlows!$A$6:$A$309,"&gt;="&amp;DATE(VALUE(MID($A33,4,4)),(VALUE(MID($A33,2,1))-1)*3+1,1),CashFlows!$A$6:$A$309,"&lt;="&amp;DATE(VALUE(MID($A33,4,4)),VALUE(MID($A33,2,1))*3+1,0),CashFlows!$G$6:$G$309,"Initial")</f>
        <v>0</v>
      </c>
      <c r="C33" s="130" t="n">
        <f aca="false">SUMIFS(CashFlows!$E$6:$E$309,CashFlows!$A$6:$A$309,"&gt;="&amp;DATE(VALUE(MID($A33,4,4)),(VALUE(MID($A33,2,1))-1)*3+1,1),CashFlows!$A$6:$A$309,"&lt;="&amp;DATE(VALUE(MID($A33,4,4)),VALUE(MID($A33,2,1))*3+1,0),CashFlows!$G$6:$G$309,"Ongoing")</f>
        <v>0</v>
      </c>
      <c r="D33" s="130" t="n">
        <f aca="false">SUMIFS(CashFlows!$E$6:$E$309,CashFlows!$A$6:$A$309,"&gt;="&amp;DATE(VALUE(MID($A33,4,4)),(VALUE(MID($A33,2,1))-1)*3+1,1),CashFlows!$A$6:$A$309,"&lt;="&amp;DATE(VALUE(MID($A33,4,4)),VALUE(MID($A33,2,1))*3+1,0),CashFlows!$D$6:$D$309,"&lt;&gt;Capital Call",CashFlows!$D$6:$D$309,"&lt;&gt;")</f>
        <v>87500</v>
      </c>
      <c r="E33" s="130" t="n">
        <f aca="false">B33+C33+D33</f>
        <v>87500</v>
      </c>
      <c r="F33" s="130" t="n">
        <f aca="false">F32+E33</f>
        <v>-221500</v>
      </c>
    </row>
    <row r="34" customFormat="false" ht="14.25" hidden="false" customHeight="true" outlineLevel="0" collapsed="false">
      <c r="A34" s="129" t="s">
        <v>383</v>
      </c>
      <c r="B34" s="130" t="n">
        <f aca="false">SUMIFS(CashFlows!$E$6:$E$309,CashFlows!$A$6:$A$309,"&gt;="&amp;DATE(VALUE(MID($A34,4,4)),(VALUE(MID($A34,2,1))-1)*3+1,1),CashFlows!$A$6:$A$309,"&lt;="&amp;DATE(VALUE(MID($A34,4,4)),VALUE(MID($A34,2,1))*3+1,0),CashFlows!$G$6:$G$309,"Initial")</f>
        <v>0</v>
      </c>
      <c r="C34" s="130" t="n">
        <f aca="false">SUMIFS(CashFlows!$E$6:$E$309,CashFlows!$A$6:$A$309,"&gt;="&amp;DATE(VALUE(MID($A34,4,4)),(VALUE(MID($A34,2,1))-1)*3+1,1),CashFlows!$A$6:$A$309,"&lt;="&amp;DATE(VALUE(MID($A34,4,4)),VALUE(MID($A34,2,1))*3+1,0),CashFlows!$G$6:$G$309,"Ongoing")</f>
        <v>0</v>
      </c>
      <c r="D34" s="130" t="n">
        <f aca="false">SUMIFS(CashFlows!$E$6:$E$309,CashFlows!$A$6:$A$309,"&gt;="&amp;DATE(VALUE(MID($A34,4,4)),(VALUE(MID($A34,2,1))-1)*3+1,1),CashFlows!$A$6:$A$309,"&lt;="&amp;DATE(VALUE(MID($A34,4,4)),VALUE(MID($A34,2,1))*3+1,0),CashFlows!$D$6:$D$309,"&lt;&gt;Capital Call",CashFlows!$D$6:$D$309,"&lt;&gt;")</f>
        <v>87500</v>
      </c>
      <c r="E34" s="130" t="n">
        <f aca="false">B34+C34+D34</f>
        <v>87500</v>
      </c>
      <c r="F34" s="130" t="n">
        <f aca="false">F33+E34</f>
        <v>-134000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2026-01-05T01:04:02Z</dcterms:created>
  <dc:creator>openpyxl</dc:creator>
  <dc:description/>
  <dc:language>en-US</dc:language>
  <cp:lastModifiedBy/>
  <dcterms:modified xsi:type="dcterms:W3CDTF">2026-04-28T04:00:29Z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